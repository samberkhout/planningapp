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be\Downloads\"/>
    </mc:Choice>
  </mc:AlternateContent>
  <xr:revisionPtr revIDLastSave="0" documentId="13_ncr:1_{BF5B28C2-AAF1-4903-B633-0122AEAAABBA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rogramma 3 december" sheetId="2" r:id="rId1"/>
    <sheet name="programma 4 december" sheetId="1" r:id="rId2"/>
    <sheet name="Lezingen 2025" sheetId="3" r:id="rId3"/>
    <sheet name="Keuze per deelnemer" sheetId="4" r:id="rId4"/>
    <sheet name="Ruimte per zaal" sheetId="6" r:id="rId5"/>
  </sheets>
  <definedNames>
    <definedName name="_xlnm._FilterDatabase" localSheetId="2" hidden="1">'Lezingen 2025'!$A$1:$J$55</definedName>
    <definedName name="_xlnm.Print_Area" localSheetId="1">'programma 4 december'!$A$1:$W$31</definedName>
    <definedName name="_xlnm.Print_Titles" localSheetId="0">'programma 3 december'!$A:$C</definedName>
    <definedName name="_xlnm.Print_Titles" localSheetId="1">'programma 4 december'!$A:$C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G57" i="3"/>
  <c r="A6" i="3" l="1"/>
  <c r="A7" i="3" s="1"/>
  <c r="A8" i="3" s="1"/>
  <c r="A9" i="3" s="1"/>
  <c r="A10" i="3" s="1"/>
  <c r="A11" i="3" s="1"/>
  <c r="A12" i="3" s="1"/>
  <c r="A13" i="3" s="1"/>
  <c r="A14" i="3" s="1"/>
  <c r="A15" i="3" s="1"/>
  <c r="A16" i="3" l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l="1"/>
  <c r="R12" i="2" s="1"/>
  <c r="O20" i="1"/>
  <c r="F26" i="1" l="1"/>
  <c r="N16" i="1"/>
  <c r="W17" i="1"/>
  <c r="S11" i="1"/>
  <c r="G12" i="2"/>
  <c r="R17" i="1"/>
  <c r="F13" i="2"/>
  <c r="J10" i="1"/>
  <c r="R10" i="2"/>
  <c r="J10" i="2"/>
  <c r="K9" i="2"/>
  <c r="G9" i="2"/>
  <c r="F16" i="2"/>
  <c r="W23" i="1"/>
  <c r="O22" i="2"/>
  <c r="S10" i="1"/>
  <c r="F23" i="1"/>
  <c r="K8" i="1"/>
  <c r="F15" i="2"/>
  <c r="G25" i="1"/>
  <c r="G26" i="1"/>
  <c r="J16" i="1"/>
  <c r="R8" i="1"/>
  <c r="N22" i="2"/>
  <c r="V17" i="1"/>
  <c r="O16" i="1"/>
  <c r="J17" i="1"/>
  <c r="G20" i="1"/>
  <c r="K10" i="2"/>
  <c r="O25" i="1"/>
  <c r="R16" i="1"/>
  <c r="S7" i="1"/>
  <c r="G22" i="1"/>
  <c r="S13" i="2"/>
  <c r="J22" i="2"/>
  <c r="N22" i="1"/>
  <c r="S10" i="2"/>
  <c r="N20" i="1"/>
  <c r="G13" i="2"/>
  <c r="J20" i="1"/>
  <c r="R9" i="2"/>
  <c r="F25" i="1"/>
  <c r="G10" i="2"/>
  <c r="N17" i="1"/>
  <c r="J14" i="1"/>
  <c r="N29" i="1"/>
  <c r="O28" i="1"/>
  <c r="O19" i="1"/>
  <c r="K20" i="1"/>
  <c r="K15" i="2"/>
  <c r="W14" i="1"/>
  <c r="S8" i="1"/>
  <c r="S12" i="2"/>
  <c r="V13" i="1"/>
  <c r="V19" i="1"/>
  <c r="K10" i="1"/>
  <c r="O17" i="1"/>
  <c r="V16" i="1"/>
  <c r="F12" i="2"/>
  <c r="N28" i="1"/>
  <c r="S17" i="1"/>
  <c r="O26" i="1"/>
  <c r="K18" i="2"/>
  <c r="N21" i="2"/>
  <c r="R14" i="1"/>
  <c r="J7" i="1"/>
  <c r="K7" i="1"/>
  <c r="J13" i="2"/>
  <c r="F20" i="1"/>
  <c r="G15" i="2"/>
  <c r="K13" i="2"/>
  <c r="G23" i="1"/>
  <c r="W16" i="1"/>
  <c r="K22" i="2"/>
  <c r="W22" i="1"/>
  <c r="O23" i="1"/>
  <c r="S9" i="2"/>
  <c r="F9" i="2"/>
  <c r="S13" i="1"/>
  <c r="G16" i="2"/>
  <c r="J19" i="1"/>
  <c r="R13" i="2"/>
  <c r="W13" i="1"/>
  <c r="S14" i="1"/>
  <c r="K13" i="1"/>
  <c r="W20" i="1"/>
  <c r="V23" i="1"/>
  <c r="N26" i="1"/>
  <c r="F19" i="1"/>
  <c r="G19" i="1"/>
  <c r="J11" i="1"/>
  <c r="J21" i="2"/>
  <c r="K17" i="1"/>
  <c r="N19" i="1"/>
  <c r="J12" i="2"/>
  <c r="K19" i="1"/>
  <c r="N23" i="1"/>
  <c r="V14" i="1"/>
  <c r="F10" i="2"/>
  <c r="R13" i="1"/>
  <c r="J19" i="2"/>
  <c r="A32" i="3"/>
  <c r="R20" i="1" s="1"/>
  <c r="W19" i="1"/>
  <c r="J15" i="2"/>
  <c r="R7" i="1"/>
  <c r="F22" i="1"/>
  <c r="R10" i="1"/>
  <c r="J9" i="2"/>
  <c r="J18" i="2"/>
  <c r="K16" i="1"/>
  <c r="N11" i="1"/>
  <c r="N10" i="1"/>
  <c r="O10" i="1"/>
  <c r="V22" i="1"/>
  <c r="K16" i="2"/>
  <c r="J13" i="1"/>
  <c r="S16" i="1"/>
  <c r="N25" i="1"/>
  <c r="K21" i="2"/>
  <c r="V20" i="1"/>
  <c r="R11" i="1"/>
  <c r="K14" i="1"/>
  <c r="K19" i="2"/>
  <c r="K11" i="1"/>
  <c r="J16" i="2"/>
  <c r="O21" i="2"/>
  <c r="O22" i="1"/>
  <c r="J8" i="1"/>
  <c r="K12" i="2"/>
  <c r="O29" i="1"/>
  <c r="R22" i="1" l="1"/>
  <c r="S22" i="1"/>
  <c r="S23" i="1"/>
  <c r="S20" i="1"/>
  <c r="S19" i="1"/>
  <c r="A33" i="3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R19" i="1"/>
  <c r="R23" i="1"/>
  <c r="W10" i="1" l="1"/>
  <c r="W8" i="1"/>
  <c r="W11" i="1"/>
  <c r="V7" i="1"/>
  <c r="O25" i="2"/>
  <c r="V8" i="1"/>
  <c r="O24" i="2"/>
  <c r="N25" i="2"/>
  <c r="O28" i="2"/>
  <c r="K28" i="1"/>
  <c r="W7" i="1"/>
  <c r="V11" i="1"/>
  <c r="N27" i="2"/>
  <c r="J29" i="1"/>
  <c r="V10" i="1"/>
  <c r="J28" i="1"/>
  <c r="K29" i="1"/>
  <c r="O27" i="2"/>
  <c r="N24" i="2"/>
  <c r="N28" i="2"/>
  <c r="AA24" i="2"/>
  <c r="F11" i="1"/>
  <c r="AA16" i="2"/>
  <c r="S28" i="1"/>
  <c r="S25" i="2"/>
  <c r="N14" i="1"/>
  <c r="N13" i="1"/>
  <c r="G17" i="1"/>
  <c r="O10" i="2"/>
  <c r="Z12" i="2"/>
  <c r="J25" i="1"/>
  <c r="S29" i="1"/>
  <c r="AA18" i="2"/>
  <c r="R19" i="2"/>
  <c r="O15" i="2"/>
  <c r="N10" i="2"/>
  <c r="K23" i="1"/>
  <c r="V19" i="2"/>
  <c r="R15" i="2"/>
  <c r="G24" i="2"/>
  <c r="W28" i="2"/>
  <c r="W24" i="2"/>
  <c r="O16" i="2"/>
  <c r="AA21" i="2"/>
  <c r="AA10" i="2"/>
  <c r="S22" i="2"/>
  <c r="K24" i="2"/>
  <c r="W12" i="2"/>
  <c r="Z10" i="2"/>
  <c r="G18" i="2"/>
  <c r="N19" i="2"/>
  <c r="V13" i="2"/>
  <c r="Z16" i="2"/>
  <c r="R25" i="2"/>
  <c r="F28" i="2"/>
  <c r="Z27" i="2"/>
  <c r="R25" i="1"/>
  <c r="AA9" i="2"/>
  <c r="S27" i="2"/>
  <c r="W19" i="2"/>
  <c r="F19" i="2"/>
  <c r="G28" i="2"/>
  <c r="G27" i="2"/>
  <c r="O9" i="2"/>
  <c r="N15" i="2"/>
  <c r="J25" i="2"/>
  <c r="W27" i="2"/>
  <c r="J24" i="2"/>
  <c r="S19" i="2"/>
  <c r="N18" i="2"/>
  <c r="O13" i="1"/>
  <c r="O18" i="2"/>
  <c r="AA22" i="2"/>
  <c r="W13" i="2"/>
  <c r="V9" i="2"/>
  <c r="R24" i="2"/>
  <c r="J27" i="2"/>
  <c r="Z21" i="2"/>
  <c r="N9" i="2"/>
  <c r="R26" i="1"/>
  <c r="V29" i="1"/>
  <c r="V18" i="2"/>
  <c r="N12" i="2"/>
  <c r="G29" i="1"/>
  <c r="Z15" i="2"/>
  <c r="Z28" i="2"/>
  <c r="F13" i="1"/>
  <c r="F8" i="1"/>
  <c r="W9" i="2"/>
  <c r="K27" i="2"/>
  <c r="K28" i="2"/>
  <c r="G14" i="1"/>
  <c r="S26" i="1"/>
  <c r="N8" i="1"/>
  <c r="Z22" i="2"/>
  <c r="G8" i="1"/>
  <c r="J28" i="2"/>
  <c r="Z24" i="2"/>
  <c r="F28" i="1"/>
  <c r="G16" i="1"/>
  <c r="K26" i="1"/>
  <c r="R27" i="2"/>
  <c r="W29" i="1"/>
  <c r="G21" i="2"/>
  <c r="AA13" i="2"/>
  <c r="R28" i="1"/>
  <c r="F29" i="1"/>
  <c r="AA19" i="2"/>
  <c r="R16" i="2"/>
  <c r="S18" i="2"/>
  <c r="R29" i="1"/>
  <c r="R22" i="2"/>
  <c r="W15" i="2"/>
  <c r="Z13" i="2"/>
  <c r="V10" i="2"/>
  <c r="S28" i="2"/>
  <c r="AA27" i="2"/>
  <c r="N7" i="1"/>
  <c r="F18" i="2"/>
  <c r="O12" i="2"/>
  <c r="N13" i="2"/>
  <c r="AA25" i="2"/>
  <c r="S25" i="1"/>
  <c r="F7" i="1"/>
  <c r="V22" i="2"/>
  <c r="S15" i="2"/>
  <c r="V28" i="2"/>
  <c r="O13" i="2"/>
  <c r="G28" i="1"/>
  <c r="V16" i="2"/>
  <c r="K22" i="1"/>
  <c r="W18" i="2"/>
  <c r="J26" i="1"/>
  <c r="O8" i="1"/>
  <c r="AA12" i="2"/>
  <c r="Z18" i="2"/>
  <c r="G19" i="2"/>
  <c r="V21" i="2"/>
  <c r="F16" i="1"/>
  <c r="Z9" i="2"/>
  <c r="S21" i="2"/>
  <c r="R21" i="2"/>
  <c r="S16" i="2"/>
  <c r="J22" i="1"/>
  <c r="W16" i="2"/>
  <c r="V12" i="2"/>
  <c r="F25" i="2"/>
  <c r="F10" i="1"/>
  <c r="J23" i="1"/>
  <c r="W26" i="1"/>
  <c r="O7" i="1"/>
  <c r="W25" i="2"/>
  <c r="F21" i="2"/>
  <c r="F27" i="2"/>
  <c r="W25" i="1"/>
  <c r="W10" i="2"/>
  <c r="V24" i="2"/>
  <c r="F17" i="1"/>
  <c r="G22" i="2"/>
  <c r="R28" i="2"/>
  <c r="K25" i="1"/>
  <c r="W22" i="2"/>
  <c r="S24" i="2"/>
  <c r="G11" i="1"/>
  <c r="N16" i="2"/>
  <c r="V28" i="1"/>
  <c r="W21" i="2"/>
  <c r="Z19" i="2"/>
  <c r="V25" i="1"/>
  <c r="G25" i="2"/>
  <c r="AA15" i="2"/>
  <c r="F14" i="1"/>
  <c r="AA28" i="2"/>
  <c r="V25" i="2"/>
  <c r="K25" i="2"/>
  <c r="Z25" i="2"/>
  <c r="W28" i="1"/>
  <c r="O19" i="2"/>
  <c r="V15" i="2"/>
  <c r="F24" i="2"/>
  <c r="F22" i="2"/>
  <c r="G7" i="1"/>
  <c r="G10" i="1"/>
  <c r="V26" i="1"/>
  <c r="G13" i="1"/>
  <c r="V27" i="2"/>
  <c r="O14" i="1"/>
  <c r="R18" i="2"/>
</calcChain>
</file>

<file path=xl/sharedStrings.xml><?xml version="1.0" encoding="utf-8"?>
<sst xmlns="http://schemas.openxmlformats.org/spreadsheetml/2006/main" count="612" uniqueCount="408">
  <si>
    <t>tijdstip</t>
  </si>
  <si>
    <t>programma</t>
  </si>
  <si>
    <t>Akkerbouw</t>
  </si>
  <si>
    <t>08.00 u -</t>
  </si>
  <si>
    <t>08.10 u -</t>
  </si>
  <si>
    <t>deelnemers naar de desbetreffende zaal</t>
  </si>
  <si>
    <t>lezing 1</t>
  </si>
  <si>
    <t>lezing 2</t>
  </si>
  <si>
    <t>lezing 3</t>
  </si>
  <si>
    <t>lezing 4</t>
  </si>
  <si>
    <t>lezing 5</t>
  </si>
  <si>
    <t>lezing 6</t>
  </si>
  <si>
    <t>lezing 7</t>
  </si>
  <si>
    <t>aperitief</t>
  </si>
  <si>
    <t>dinerbuffet</t>
  </si>
  <si>
    <t>ontbijt</t>
  </si>
  <si>
    <t>vertrek</t>
  </si>
  <si>
    <t>plenair in zaal Molenhoek</t>
  </si>
  <si>
    <t xml:space="preserve">lunch </t>
  </si>
  <si>
    <t>bar businessfoyer open</t>
  </si>
  <si>
    <t>07.00 u -</t>
  </si>
  <si>
    <t>08.00 u</t>
  </si>
  <si>
    <t>plenaire start in zaal Molenhoek</t>
  </si>
  <si>
    <t>avondprogramma in Molenhoek</t>
  </si>
  <si>
    <t>Gouden Leeuw 2</t>
  </si>
  <si>
    <t>Gouden Leeuw 3</t>
  </si>
  <si>
    <t>Princeville</t>
  </si>
  <si>
    <t>Haagse Schouw</t>
  </si>
  <si>
    <t>Bedrijf</t>
  </si>
  <si>
    <t>Presentator</t>
  </si>
  <si>
    <t xml:space="preserve">Gewas </t>
  </si>
  <si>
    <t>Onderwerp</t>
  </si>
  <si>
    <t>Extra info</t>
  </si>
  <si>
    <t>08.15 u</t>
  </si>
  <si>
    <t>lezing 8</t>
  </si>
  <si>
    <t>De Witte</t>
  </si>
  <si>
    <t xml:space="preserve">pauze </t>
  </si>
  <si>
    <t>pauze</t>
  </si>
  <si>
    <t>Bayer</t>
  </si>
  <si>
    <t>WUR</t>
  </si>
  <si>
    <t>Geert Kessel</t>
  </si>
  <si>
    <t>BASF</t>
  </si>
  <si>
    <t>bieten</t>
  </si>
  <si>
    <t>Syngenta</t>
  </si>
  <si>
    <t>uien</t>
  </si>
  <si>
    <t>UPL</t>
  </si>
  <si>
    <t>Corteva</t>
  </si>
  <si>
    <t>Certis Belchim</t>
  </si>
  <si>
    <t>Nufarm</t>
  </si>
  <si>
    <t>Agrifirm</t>
  </si>
  <si>
    <t>Fokko Prins</t>
  </si>
  <si>
    <t>algemeen</t>
  </si>
  <si>
    <t>Concepten ontwikkeling en uitrol</t>
  </si>
  <si>
    <t>wo</t>
  </si>
  <si>
    <t>Biostimulanten noodzaak en nut</t>
  </si>
  <si>
    <t>do</t>
  </si>
  <si>
    <t>Mark Kersten</t>
  </si>
  <si>
    <t>Goed zaken doen</t>
  </si>
  <si>
    <t>Evert Hofman &amp; Abemec</t>
  </si>
  <si>
    <t>Toekomst Techniek toepassing GBM</t>
  </si>
  <si>
    <t>Agrifirm &amp; UPL</t>
  </si>
  <si>
    <t>Joris Roskam &amp;     Marcel van Doorne</t>
  </si>
  <si>
    <t>ADAMA</t>
  </si>
  <si>
    <t>Kevin de Lange</t>
  </si>
  <si>
    <t>Actualiteiten en vernieuwingen graanportfolio ADAMA</t>
  </si>
  <si>
    <t>PGR, Fungicide, septoria monitoring</t>
  </si>
  <si>
    <t>Hanko Blok</t>
  </si>
  <si>
    <t>fungiciden, herbiciden</t>
  </si>
  <si>
    <t>Bert Westhoff</t>
  </si>
  <si>
    <t>Luximo; nieuwe dimensie voor sterke grassenbestrijding</t>
  </si>
  <si>
    <t>Grassenbestrijding, duist, straatgras, windhalm, nieuwe chemie in wintertarwe</t>
  </si>
  <si>
    <t>aardappel</t>
  </si>
  <si>
    <t>Nieuwe phytophthora strategie met Zampro Plus</t>
  </si>
  <si>
    <t>Nieuwe onderzoeksresultaten met Zampro Plus &amp; Enervin SC . Ervaringen nieuwe strategie met afwisselen en alterneren.  Goed resistentiemanagement. Korte introductie Divexo.</t>
  </si>
  <si>
    <t>Guus Bergmans</t>
  </si>
  <si>
    <t>Nieuw: Divexo tegen valse meeldauw + uitdagingen  onkruidbestrijding</t>
  </si>
  <si>
    <t>Divexo; nieuw fungicide tegen valse meeldauw.  Stomp 400 SC, Wing P, Basagran: de basis voor een goede onkruidbestrijding.</t>
  </si>
  <si>
    <t>Actueel onderzoek Basagran; nieuwe ervaringen in aardappel. Sterk op veel breedbladige onkruiden. Nieuw onderzoek Allstar tegen rhizoctonia.</t>
  </si>
  <si>
    <t>Slimme strategieën in bieten</t>
  </si>
  <si>
    <t>Fungiciden afwisselen voor behoud van effectiviteit. Belanty FL &amp; Diadem. Lastige onkruid bestrijden. Kezuro &amp; Tanaris.</t>
  </si>
  <si>
    <t>Bert Westhoff &amp;        Guus Bergmans</t>
  </si>
  <si>
    <t>10 jaar 1,4SIGHT; vroege start loont</t>
  </si>
  <si>
    <t>Minder bewaarverlies en meer rendement uit de bewaring. Nog vroeger toepassen.</t>
  </si>
  <si>
    <t>gewas breed</t>
  </si>
  <si>
    <t>Jouw vragen, onze antwoorden!</t>
  </si>
  <si>
    <t>Akkerbouw, teeltuitdagingen, registratie, productstewardship, pijplijn ontwikkelingen. Vragen indienen bij BASF minimaal 1 week van te voren.</t>
  </si>
  <si>
    <t>Update Conviso + mogelijkheden in 2026 met Buteo Start en Sivanto op luis en cicaden?</t>
  </si>
  <si>
    <t>Conviso, Sivanto, Buteo Start, Bieten, luizen, cicaden</t>
  </si>
  <si>
    <t>Stefan van Heist</t>
  </si>
  <si>
    <t>Aliette nieuw in de (kleine) uien, Serenade update uienbreed</t>
  </si>
  <si>
    <t>Aliette, Serenade, Rudis, Infinito, Fandango</t>
  </si>
  <si>
    <t>Simon/Sander</t>
  </si>
  <si>
    <t>It's all about potatoes, aardappels en nog eens aardappels</t>
  </si>
  <si>
    <t>Serenade stikstof, Velum Prime, Challenge, Gofor, Sivanto Prime cicaden Stolbur , Infinito, Propulse</t>
  </si>
  <si>
    <t>Sander Uwland</t>
  </si>
  <si>
    <t>mais</t>
  </si>
  <si>
    <t>Spade nieuw in mais tegen lastige grassen</t>
  </si>
  <si>
    <t>Spade, Laudis, Monsoon</t>
  </si>
  <si>
    <t>Christy van Beek</t>
  </si>
  <si>
    <t xml:space="preserve">Staat het water ons nader aan de lippen? </t>
  </si>
  <si>
    <t xml:space="preserve">Waterkwaliteit, update, duurzaam, wegval van stoffen, uitbreiding normen, CTGB project. </t>
  </si>
  <si>
    <t>aardappelen</t>
  </si>
  <si>
    <t xml:space="preserve">Wandel met ons mee over het Pieperpad </t>
  </si>
  <si>
    <t>alternaria, phytophthora, onkruid, loofdood,  virus, insekten, rhizoctonia, bewaarziekten</t>
  </si>
  <si>
    <t>Maarten van der Marel &amp; Fokke Smit</t>
  </si>
  <si>
    <t>Wandel met ons mee over het alternatieve pieperpad</t>
  </si>
  <si>
    <t>Trips, valse meeldauw, aaltjes, onkruid, kiemrust</t>
  </si>
  <si>
    <t>wintertarwe</t>
  </si>
  <si>
    <t xml:space="preserve">Fencade + Renitar, een stap vooruit in de voorjaars onkruidbestrijding wintertarwe </t>
  </si>
  <si>
    <t>Bestrijding straatgras, duist en breedbladigen + korte update Queen</t>
  </si>
  <si>
    <t>Titus mogelijkheden in het post-Sencor tijdperk + Resultaten demo-proeven 2025 phytophthora bestrijding.</t>
  </si>
  <si>
    <t>Wat zijn de mogelijkheden met Lontrel en Rinpode (verwacht voor seizoen 2027)</t>
  </si>
  <si>
    <t>Rinpode, nieuwe werkzame stof voor onkruidbestrijding suikerbieten. Kijkje in de keuken: Queen in suikerbieten vanaf 2028</t>
  </si>
  <si>
    <t>Ruud van de Sande</t>
  </si>
  <si>
    <t>De puntjes op de ui voor seizoen 2026.</t>
  </si>
  <si>
    <t>Hoe Tracer zo goed mogelijk inzetten nu middelen zijn weggevallen. Onkruidbestrijding. Valse meeldauwbestrijding</t>
  </si>
  <si>
    <t xml:space="preserve">Allard Jukema  </t>
  </si>
  <si>
    <t>mais en grasland</t>
  </si>
  <si>
    <t>Nieuwe basis (flex) voor de onkruidbestrijding in mais. Zuinig met uw klaver in grasland.</t>
  </si>
  <si>
    <t>Mogelijkheden met Basis Flex in mais. Ervaringen Proclova in gras-klaver weiden.</t>
  </si>
  <si>
    <t>akkerbouw</t>
  </si>
  <si>
    <t>Hoe kunnen we planthormonen beinvloeden met biostimulanten</t>
  </si>
  <si>
    <t>verdieping en proefresultaten</t>
  </si>
  <si>
    <t>CropLife</t>
  </si>
  <si>
    <t>Eric Kiers</t>
  </si>
  <si>
    <t>GBM en PFAS, hoe zit het?</t>
  </si>
  <si>
    <t xml:space="preserve">Alles rondom PFAS in gewasbescherming. </t>
  </si>
  <si>
    <t>ECOstyle</t>
  </si>
  <si>
    <t>Aukje Veldstra</t>
  </si>
  <si>
    <t>“De kracht van micro-organismen: wetenschap als basis voor rendement”</t>
  </si>
  <si>
    <t xml:space="preserve">Micro-organismen, ProtoPlus Agro, Adviseren microbiologie, Van wetenschap naar praktijk, Combinaties microbiologie producten. </t>
  </si>
  <si>
    <t>FMC</t>
  </si>
  <si>
    <t>Anton Bom</t>
  </si>
  <si>
    <t>ervaringen en adviezen: Bietenmot - Coragen NLKUG, onkruidbestrijding - Centium 360 CS en Venzar, 500 S,  Luis en bietenvlieg - Exirel (indien weer vrijstelling)</t>
  </si>
  <si>
    <t>ervaringen en adviezen: Onkruidbestrijding - Centium 360 CS,  Phytophthorabestrijding &amp; Alternariabestrijding - Vendetta, Loofdoding - Spotlight Plus/ Affinity Plus</t>
  </si>
  <si>
    <t>IRS</t>
  </si>
  <si>
    <t>Elma Raaijmakers</t>
  </si>
  <si>
    <t>SBR en RTD/Stolbur oplossen via bouwplanbrede aanpak</t>
  </si>
  <si>
    <t>Een nieuwe dreiging voor veel gewassen in het bouwplan. Wat is de status en hoe pakken we het op?</t>
  </si>
  <si>
    <t>do ochtend</t>
  </si>
  <si>
    <t>Sjef van der Heijden</t>
  </si>
  <si>
    <t>ICM aanpak resistente onkruiden op bouwplan niveau</t>
  </si>
  <si>
    <t>Resistente onkruiden worden een steeds groter probleem. Een ICM aanpak is nodig!</t>
  </si>
  <si>
    <t xml:space="preserve">Koppert </t>
  </si>
  <si>
    <t>Koppert</t>
  </si>
  <si>
    <t xml:space="preserve">Trianum: Biologisch fungicide tegen bodemziekten                                                                                  - Het alternatief voor een smaller fungiciden pakket - </t>
  </si>
  <si>
    <t>Wegvallen fungiciden, Pythium, Fusarium, toepassing van Trianum</t>
  </si>
  <si>
    <t>Slimme nematoden: Effectieve oplossingen tegen insectenplagen</t>
  </si>
  <si>
    <t xml:space="preserve">Bonen-, uien- en koolvlieg, emelten, kevers, ritnaalden, insect parasitaire aaltjes </t>
  </si>
  <si>
    <t>De kracht van natuurlijke vijanden en bankerplanten</t>
  </si>
  <si>
    <t xml:space="preserve">Hoe natuurlijke vijanden gebruiken in open teelten, praktijkvoorbeelden in diverse teelten. </t>
  </si>
  <si>
    <t>LALLEMAND</t>
  </si>
  <si>
    <t>Pests, thrips, onion flies, bioinsecticides, IPM, resistance management, trial results</t>
  </si>
  <si>
    <t>Diseases, Pythium, Fusarium, Rhizoctonia, Botrytis, Powdery mildew,biofungicide, resistance management, IPM, trial results</t>
  </si>
  <si>
    <t>Naturim</t>
  </si>
  <si>
    <t>Sander Bernaerts</t>
  </si>
  <si>
    <t>Regeneratieve landbouw, wat kun jij ermee?</t>
  </si>
  <si>
    <t>wanneer is landbouw regeneratief? Welke elementen zijn voor jou als adviseur bruikbaar?</t>
  </si>
  <si>
    <t>do middag</t>
  </si>
  <si>
    <t>Tjeerd Peeters</t>
  </si>
  <si>
    <t>Trips- en luisbestrijding met NeemAzal-T/S in buitenteelten. Effectief en biologisch!</t>
  </si>
  <si>
    <t>NeemAzal-T/S, Azadirachtine, Insectenbestrijding breed, Biologische oplossingen, SKAL,</t>
  </si>
  <si>
    <t xml:space="preserve">Robuuste rassen en Nuxine: Van proefveld naar toekomst. </t>
  </si>
  <si>
    <t>Nuxine, Robuuste aardappelrassen, Robuuste suikerbietrassen, IRS, Cosun, Geersing potato specialist, Nufarm, Cerevisane, Kaliumfosfonaat, SKAL Biologische oplossingen, ICM, NuBio, SPP, SSP</t>
  </si>
  <si>
    <t>Pireco</t>
  </si>
  <si>
    <t>Job Simmes</t>
  </si>
  <si>
    <t>Betere kwaliteit knollen,  gezonder loof  -  hogere opbrengst</t>
  </si>
  <si>
    <t>Tercol (knolkwaliteit), Stimuter (beworteling) , Folisec (nutrientenefficientie) en Herfomyc (loofkwaliteit). Folisec voor pootgoed, ICM, loofvitaliteit</t>
  </si>
  <si>
    <t>Weimar de Ridder</t>
  </si>
  <si>
    <t xml:space="preserve">Toekomstige weerbare uienteelt </t>
  </si>
  <si>
    <t>Nemater (bodem in balans) Stimuter (beworteling), Folisec (ICM, loofgezondheid). Verschillen met klei- en zandgronden. Systeem aanpak, ervaringen uit andere teelten</t>
  </si>
  <si>
    <t>PLV Belgie</t>
  </si>
  <si>
    <t>Shana Clercx</t>
  </si>
  <si>
    <t>Knolcyperus</t>
  </si>
  <si>
    <t>update over knolcyperus</t>
  </si>
  <si>
    <t>Rovensa next</t>
  </si>
  <si>
    <t>Loïc / Erwin</t>
  </si>
  <si>
    <t>Transfomer, herbiciden, Humifirst, Biimore biostimulant</t>
  </si>
  <si>
    <t>Steven Dorrestijn</t>
  </si>
  <si>
    <t>Waarom vallen de opbrengsten in uien tegen?</t>
  </si>
  <si>
    <t>Algemeen, breed verhaal met focus op ICM valse meeldauw</t>
  </si>
  <si>
    <t>Marnix Gijlers en Steven Dorrestijn</t>
  </si>
  <si>
    <t>aardappelen, ui en peen</t>
  </si>
  <si>
    <t>Hutspot voor gevorderden</t>
  </si>
  <si>
    <t>Boxer als bodem- en contactherbicide in de teelt van aardappelen, ui en peen. Wat kan wel en wat kan niet? Lezing en discussie</t>
  </si>
  <si>
    <t xml:space="preserve">Marnix Gijlers  </t>
  </si>
  <si>
    <t>Geen horde te hoog voor Phytophthora; Fight Blight Right</t>
  </si>
  <si>
    <t>Phytophthora / (alternaria) beheersen in aardappelen met oog voor resistentiemanagement tav rassen en middelen; the game is on; win jij de strijd?</t>
  </si>
  <si>
    <t>Marcel van Doorne</t>
  </si>
  <si>
    <t>Kiemremming, bewaring, aardappelen, Royal MH, Argos</t>
  </si>
  <si>
    <t>update romdom Phytophtora infestans in aardappelen</t>
  </si>
  <si>
    <t>wo middag</t>
  </si>
  <si>
    <t>08.00 -</t>
  </si>
  <si>
    <t>08.15 -</t>
  </si>
  <si>
    <t>09.15</t>
  </si>
  <si>
    <t>09.15 -</t>
  </si>
  <si>
    <t>09.30</t>
  </si>
  <si>
    <t>10.15</t>
  </si>
  <si>
    <t>09.30 -</t>
  </si>
  <si>
    <t>10.15 -</t>
  </si>
  <si>
    <t>10.30</t>
  </si>
  <si>
    <t xml:space="preserve">11.15 </t>
  </si>
  <si>
    <t>10.30 -</t>
  </si>
  <si>
    <t>11.15 -</t>
  </si>
  <si>
    <t xml:space="preserve">11.30 </t>
  </si>
  <si>
    <t>11.30 -</t>
  </si>
  <si>
    <t>12.15</t>
  </si>
  <si>
    <t>12.15 -</t>
  </si>
  <si>
    <t>13.15</t>
  </si>
  <si>
    <t>13.15 -</t>
  </si>
  <si>
    <t>14.00</t>
  </si>
  <si>
    <t>14.00 -</t>
  </si>
  <si>
    <t xml:space="preserve">14.15 </t>
  </si>
  <si>
    <t xml:space="preserve">15.00 </t>
  </si>
  <si>
    <t>14.15 -</t>
  </si>
  <si>
    <t>15.00 -</t>
  </si>
  <si>
    <t>15.15</t>
  </si>
  <si>
    <t>15.15 -</t>
  </si>
  <si>
    <t>16.00</t>
  </si>
  <si>
    <t>16.00 -</t>
  </si>
  <si>
    <t>16.15</t>
  </si>
  <si>
    <t>16.15 -</t>
  </si>
  <si>
    <t>17.00</t>
  </si>
  <si>
    <t>17.00 -</t>
  </si>
  <si>
    <t>17.45 -</t>
  </si>
  <si>
    <t>20.00 -</t>
  </si>
  <si>
    <t>21.15 -</t>
  </si>
  <si>
    <t>17.45</t>
  </si>
  <si>
    <t>19.15</t>
  </si>
  <si>
    <t>21.15</t>
  </si>
  <si>
    <t>01.00</t>
  </si>
  <si>
    <t>Welkom</t>
  </si>
  <si>
    <t>08.10 u</t>
  </si>
  <si>
    <t>17.15 u -</t>
  </si>
  <si>
    <t>18.30 u</t>
  </si>
  <si>
    <t>08.10</t>
  </si>
  <si>
    <t>moment</t>
  </si>
  <si>
    <t>wo ochtend</t>
  </si>
  <si>
    <t xml:space="preserve">wo </t>
  </si>
  <si>
    <t>#inteken</t>
  </si>
  <si>
    <t xml:space="preserve">aantal x </t>
  </si>
  <si>
    <t>Verplichte lezingen voor iedereen</t>
  </si>
  <si>
    <t>Id</t>
  </si>
  <si>
    <t>Naam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</si>
  <si>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</si>
  <si>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</si>
  <si>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</si>
  <si>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</si>
  <si>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</si>
  <si>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</si>
  <si>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</si>
  <si>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</si>
  <si>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</si>
  <si>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</si>
  <si>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</si>
  <si>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</si>
  <si>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</si>
  <si>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</si>
  <si>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</si>
  <si>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Jan Derks Kloosterboer</t>
  </si>
  <si>
    <t>Rens Hupkes</t>
  </si>
  <si>
    <t>Maurice van den Boom</t>
  </si>
  <si>
    <t>Jorrit Krom</t>
  </si>
  <si>
    <t>22</t>
  </si>
  <si>
    <t>Teun van de Wassenberg</t>
  </si>
  <si>
    <t>Ronald Hendriksen</t>
  </si>
  <si>
    <t>Ton Stoorvogel</t>
  </si>
  <si>
    <t>Raymond Sweertman</t>
  </si>
  <si>
    <t>Arnold Kremer</t>
  </si>
  <si>
    <t>Linette Holsappel - van Staalduinen</t>
  </si>
  <si>
    <t>Kor Tempel</t>
  </si>
  <si>
    <t>Lieuwe Elzinga</t>
  </si>
  <si>
    <t>Harry Sanders</t>
  </si>
  <si>
    <t>44</t>
  </si>
  <si>
    <t>Tom de Visser</t>
  </si>
  <si>
    <t>Cok van der Maarl</t>
  </si>
  <si>
    <t>Erik Dilling</t>
  </si>
  <si>
    <t>Ries van den Boogert</t>
  </si>
  <si>
    <t>Stijn Jeuken</t>
  </si>
  <si>
    <t>Bram Schilder</t>
  </si>
  <si>
    <t>Wilko Wingelaar</t>
  </si>
  <si>
    <t>René Huls</t>
  </si>
  <si>
    <t>Sander Hofhuis</t>
  </si>
  <si>
    <t>Kees Overheul</t>
  </si>
  <si>
    <t>Mark Schepers</t>
  </si>
  <si>
    <t>Lex Broersen</t>
  </si>
  <si>
    <t>Marcel Schut</t>
  </si>
  <si>
    <t>Joep Maas</t>
  </si>
  <si>
    <t>Johan Ottens</t>
  </si>
  <si>
    <t>Nanda ter Huurne</t>
  </si>
  <si>
    <t>Martin van Rijn</t>
  </si>
  <si>
    <t>Henk-Jan van der Struik</t>
  </si>
  <si>
    <t>Christiaan Bootsma</t>
  </si>
  <si>
    <t>Andre Groot Nibbelink</t>
  </si>
  <si>
    <t>Liza Lievens</t>
  </si>
  <si>
    <t>Anke van Oorschot</t>
  </si>
  <si>
    <t>Peter Hulst</t>
  </si>
  <si>
    <t>Theo Brookman</t>
  </si>
  <si>
    <t>Patrick Lamers</t>
  </si>
  <si>
    <t>Jan Ties Malda</t>
  </si>
  <si>
    <t>Emiel Dokter</t>
  </si>
  <si>
    <t>Anna Overgoor - Riemersma</t>
  </si>
  <si>
    <t>Erik Simons</t>
  </si>
  <si>
    <t>Marcel Vaessen</t>
  </si>
  <si>
    <t>Johan Brooijmans</t>
  </si>
  <si>
    <t>Jeroen Nijenhuis</t>
  </si>
  <si>
    <t>Huub van der Velden</t>
  </si>
  <si>
    <t>Wout Ballast</t>
  </si>
  <si>
    <t>Harold Zondag</t>
  </si>
  <si>
    <t>Jos Leenders</t>
  </si>
  <si>
    <t>Arjan Swieringa</t>
  </si>
  <si>
    <t>Hendrik van der Sluis</t>
  </si>
  <si>
    <t>Niels Verhooren</t>
  </si>
  <si>
    <t>Diether de Jong</t>
  </si>
  <si>
    <t>Jessie Teeuwen</t>
  </si>
  <si>
    <t>Jacob Swart</t>
  </si>
  <si>
    <t>Anne de Visser</t>
  </si>
  <si>
    <t>Peter Verstraten</t>
  </si>
  <si>
    <t>Joost van den Boogert</t>
  </si>
  <si>
    <t>Freek Pereboom</t>
  </si>
  <si>
    <t>Robert Metselaar</t>
  </si>
  <si>
    <t>Roos van Dortmont</t>
  </si>
  <si>
    <t>Jan ten Have</t>
  </si>
  <si>
    <t>Sjoerd-Jan de Lugt</t>
  </si>
  <si>
    <t>Fred Sons</t>
  </si>
  <si>
    <t>Arjan Ottens</t>
  </si>
  <si>
    <t>Gerrit-Jan Ruitenbeek</t>
  </si>
  <si>
    <t>Bart Benedictus</t>
  </si>
  <si>
    <t>André Steenhuis</t>
  </si>
  <si>
    <t>Tom van Dijk</t>
  </si>
  <si>
    <t>Tom Grootjans</t>
  </si>
  <si>
    <t>Frank Hartveld</t>
  </si>
  <si>
    <t>Desiree Huiberts</t>
  </si>
  <si>
    <t>Aniek ter Harmsel</t>
  </si>
  <si>
    <t>Carolien Kempink</t>
  </si>
  <si>
    <t>Antoinet Vossebeld - Huisman</t>
  </si>
  <si>
    <t>Jorik Dijksterhuis</t>
  </si>
  <si>
    <t>Weal Cuperus</t>
  </si>
  <si>
    <t>Gert Brommer</t>
  </si>
  <si>
    <t>Mark Jonker</t>
  </si>
  <si>
    <t>Frank Schuten</t>
  </si>
  <si>
    <t>Wilbert Kaat</t>
  </si>
  <si>
    <t>Levi Bin</t>
  </si>
  <si>
    <t>Michiel Kuizenga</t>
  </si>
  <si>
    <t>Wouter Dijkhuis</t>
  </si>
  <si>
    <t>Jasper Brinks</t>
  </si>
  <si>
    <t>Randy Wilbrink</t>
  </si>
  <si>
    <t>Thea van Beers</t>
  </si>
  <si>
    <t>Erik Nagelhoud</t>
  </si>
  <si>
    <t>Niels Ruschen</t>
  </si>
  <si>
    <t>Josien van Harten</t>
  </si>
  <si>
    <t>Martijn Zijlema</t>
  </si>
  <si>
    <t>Henk Leffers</t>
  </si>
  <si>
    <t>Cornelis de Haas</t>
  </si>
  <si>
    <t>Josine Huijbregts</t>
  </si>
  <si>
    <t>Erwin Boogaard</t>
  </si>
  <si>
    <t>Vincent Koeckhoven</t>
  </si>
  <si>
    <t>Corné Spelde</t>
  </si>
  <si>
    <t>Wouter van Zeele</t>
  </si>
  <si>
    <t>Sem Postma</t>
  </si>
  <si>
    <t>Jelmer Roorda</t>
  </si>
  <si>
    <t>Evert Hofman</t>
  </si>
  <si>
    <t>Anne Gert Koning</t>
  </si>
  <si>
    <t>Fred Kwebeman</t>
  </si>
  <si>
    <t>Erik van der Wekken</t>
  </si>
  <si>
    <t>Baukje Hiddema</t>
  </si>
  <si>
    <t>Willem Blok</t>
  </si>
  <si>
    <t>Bart Bartelds</t>
  </si>
  <si>
    <t>Agrifirm Plenair zaal Molenhoek: Totaal Gewas Aanpak</t>
  </si>
  <si>
    <t>Programma Cebeco MOTIvatiedagen donderdag 4 december 2025</t>
  </si>
  <si>
    <t>Programma Cebeco MOTIvatiedagen woensdag 3 december 2025</t>
  </si>
  <si>
    <t>aantal/zaal</t>
  </si>
  <si>
    <t>Kinderdijk</t>
  </si>
  <si>
    <t>wo ochtend blok 2 en 4</t>
  </si>
  <si>
    <t>Ronny Traas &amp; Jan-Eric Geersing</t>
  </si>
  <si>
    <t>Lucie Martin &amp; Alexandra Aldeia</t>
  </si>
  <si>
    <t>Fokke Smit &amp; Tom van Driessen</t>
  </si>
  <si>
    <t>Nufarm + Geersing PS</t>
  </si>
  <si>
    <t>Malda &amp; Brakemeier</t>
  </si>
  <si>
    <t xml:space="preserve">Stefan / Simon / Sander </t>
  </si>
  <si>
    <t>Allard /Joris / Rien</t>
  </si>
  <si>
    <t>Verdieping resistentieproblema- tiek bietenteelt</t>
  </si>
  <si>
    <t>Update Phytophthora</t>
  </si>
  <si>
    <t>Gewasbescherming in een notedop</t>
  </si>
  <si>
    <t>introductie voor Abemec</t>
  </si>
  <si>
    <t>aardappel, suikerbiet</t>
  </si>
  <si>
    <t>uien, aardappel</t>
  </si>
  <si>
    <t>graan</t>
  </si>
  <si>
    <t>i.o.</t>
  </si>
  <si>
    <t>Restrain*</t>
  </si>
  <si>
    <t>GEWASKRACHT REEF technische introductie</t>
  </si>
  <si>
    <t>Sterke start aardappel: nieuwe ervaringen Basagran, Allstar</t>
  </si>
  <si>
    <t>New tool for ICM: LALSTOP G46 WG for soil-borne diseases</t>
  </si>
  <si>
    <t xml:space="preserve">LALGUARD M52 OD:       a sustainable &amp; efficient alternative </t>
  </si>
  <si>
    <t xml:space="preserve">Bewaring na ROYAL MH en 5 jaar ervaring met ARGOS </t>
  </si>
  <si>
    <t>16</t>
  </si>
  <si>
    <t>17</t>
  </si>
  <si>
    <t>18</t>
  </si>
  <si>
    <t>19</t>
  </si>
  <si>
    <t>20</t>
  </si>
  <si>
    <t>21</t>
  </si>
  <si>
    <t>Actualiteiten in bieten, onkruid en insectenbestrijding</t>
  </si>
  <si>
    <t xml:space="preserve">Actualiteiten aardappel, herbiciden, fungiciden, loofdoding </t>
  </si>
  <si>
    <t>Transformer bij v.o. herbiciden + meerwaarde- Humifirst. Introductie Biimore biostimulant</t>
  </si>
  <si>
    <t>Dag 1</t>
  </si>
  <si>
    <t>Dag 2</t>
  </si>
  <si>
    <t xml:space="preserve">Introductie Restrain </t>
  </si>
  <si>
    <t>*Verplichte lezingen dag 1 (47, 49, 50 en 51) maximaal 32 personen ipv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</si>
</sst>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i/>
      <sz val="9"/>
      <name val="Calibri"/>
      <family val="2"/>
      <scheme val="minor"/>
    </font>
    <font>
      <i/>
      <sz val="13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.5"/>
      <name val="Calibri"/>
      <family val="2"/>
    </font>
    <font>
      <b/>
      <sz val="11"/>
      <name val="Calibri"/>
      <family val="2"/>
    </font>
    <font>
      <sz val="11.5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u/>
      <sz val="11"/>
      <color rgb="FF008000"/>
      <name val="Calibri"/>
      <family val="2"/>
    </font>
    <font>
      <b/>
      <sz val="10"/>
      <color theme="0"/>
      <name val="Britannic Bold"/>
      <family val="2"/>
    </font>
    <font>
      <sz val="10"/>
      <color theme="1"/>
      <name val="Britannic Bold"/>
      <family val="2"/>
    </font>
    <font>
      <sz val="10"/>
      <name val="Britannic Bold"/>
      <family val="2"/>
    </font>
    <font>
      <b/>
      <sz val="10"/>
      <name val="Britannic Bold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66"/>
      <name val="Calibri"/>
      <family val="2"/>
      <scheme val="minor"/>
    </font>
    <font>
      <sz val="11"/>
      <color rgb="FFFF0066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/>
      <name val="Arial"/>
      <family val="2"/>
    </font>
    <font>
      <i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4" fillId="8" borderId="0" applyNumberFormat="0" applyBorder="0" applyAlignment="0" applyProtection="0"/>
  </cellStyleXfs>
  <cellXfs count="141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0" fillId="0" borderId="0" xfId="0" applyFont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25" fillId="0" borderId="2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top"/>
    </xf>
    <xf numFmtId="0" fontId="24" fillId="4" borderId="2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/>
    </xf>
    <xf numFmtId="0" fontId="24" fillId="4" borderId="2" xfId="0" applyFont="1" applyFill="1" applyBorder="1" applyAlignment="1">
      <alignment horizontal="left" vertical="top" wrapText="1"/>
    </xf>
    <xf numFmtId="0" fontId="19" fillId="5" borderId="2" xfId="0" applyFont="1" applyFill="1" applyBorder="1" applyAlignment="1">
      <alignment horizontal="center" vertical="top"/>
    </xf>
    <xf numFmtId="0" fontId="31" fillId="0" borderId="2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/>
    </xf>
    <xf numFmtId="0" fontId="31" fillId="0" borderId="2" xfId="0" applyFont="1" applyBorder="1" applyAlignment="1">
      <alignment horizontal="left" vertical="top" wrapText="1"/>
    </xf>
    <xf numFmtId="0" fontId="19" fillId="3" borderId="2" xfId="0" applyFont="1" applyFill="1" applyBorder="1" applyAlignment="1">
      <alignment horizontal="center" vertical="top"/>
    </xf>
    <xf numFmtId="0" fontId="24" fillId="3" borderId="2" xfId="0" applyFont="1" applyFill="1" applyBorder="1" applyAlignment="1">
      <alignment horizontal="center" vertical="top" wrapText="1"/>
    </xf>
    <xf numFmtId="0" fontId="24" fillId="3" borderId="2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 vertical="top" wrapText="1"/>
    </xf>
    <xf numFmtId="0" fontId="25" fillId="0" borderId="0" xfId="0" applyFont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2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/>
    </xf>
    <xf numFmtId="0" fontId="26" fillId="0" borderId="2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29" fillId="0" borderId="2" xfId="0" applyFont="1" applyBorder="1" applyAlignment="1">
      <alignment horizontal="center" vertical="top" wrapText="1"/>
    </xf>
    <xf numFmtId="0" fontId="26" fillId="0" borderId="2" xfId="0" applyFont="1" applyBorder="1" applyAlignment="1">
      <alignment horizontal="center" vertical="top"/>
    </xf>
    <xf numFmtId="0" fontId="29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/>
    </xf>
    <xf numFmtId="0" fontId="32" fillId="0" borderId="2" xfId="0" applyFont="1" applyBorder="1" applyAlignment="1">
      <alignment vertical="center" wrapText="1"/>
    </xf>
    <xf numFmtId="0" fontId="30" fillId="0" borderId="2" xfId="0" applyFont="1" applyBorder="1" applyAlignment="1">
      <alignment horizontal="center" vertical="top"/>
    </xf>
    <xf numFmtId="0" fontId="33" fillId="0" borderId="2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22" fillId="7" borderId="2" xfId="0" applyFont="1" applyFill="1" applyBorder="1" applyAlignment="1">
      <alignment horizontal="center" vertical="top"/>
    </xf>
    <xf numFmtId="0" fontId="26" fillId="7" borderId="2" xfId="0" applyFont="1" applyFill="1" applyBorder="1" applyAlignment="1">
      <alignment horizontal="center" vertical="top" wrapText="1"/>
    </xf>
    <xf numFmtId="0" fontId="25" fillId="7" borderId="2" xfId="0" applyFont="1" applyFill="1" applyBorder="1" applyAlignment="1">
      <alignment horizontal="center" vertical="top" wrapText="1"/>
    </xf>
    <xf numFmtId="0" fontId="26" fillId="7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25" fillId="7" borderId="2" xfId="0" applyFont="1" applyFill="1" applyBorder="1" applyAlignment="1">
      <alignment horizontal="left" vertical="top" wrapText="1"/>
    </xf>
    <xf numFmtId="0" fontId="18" fillId="7" borderId="2" xfId="0" applyFont="1" applyFill="1" applyBorder="1" applyAlignment="1">
      <alignment horizontal="left" vertical="top" wrapText="1"/>
    </xf>
    <xf numFmtId="0" fontId="34" fillId="8" borderId="0" xfId="1" applyAlignment="1">
      <alignment horizontal="left" vertical="top"/>
    </xf>
    <xf numFmtId="0" fontId="34" fillId="8" borderId="0" xfId="1" applyAlignment="1">
      <alignment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top"/>
    </xf>
    <xf numFmtId="0" fontId="0" fillId="7" borderId="2" xfId="0" applyFill="1" applyBorder="1" applyAlignment="1">
      <alignment horizontal="left" vertical="top"/>
    </xf>
    <xf numFmtId="0" fontId="0" fillId="7" borderId="2" xfId="0" applyFill="1" applyBorder="1" applyAlignment="1">
      <alignment vertical="top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49" fontId="0" fillId="0" borderId="2" xfId="0" applyNumberFormat="1" applyBorder="1"/>
    <xf numFmtId="49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quotePrefix="1" applyBorder="1" applyAlignment="1">
      <alignment horizontal="right"/>
    </xf>
    <xf numFmtId="0" fontId="15" fillId="9" borderId="0" xfId="0" applyFont="1" applyFill="1" applyAlignment="1">
      <alignment horizontal="center"/>
    </xf>
    <xf numFmtId="0" fontId="1" fillId="9" borderId="0" xfId="0" applyFont="1" applyFill="1"/>
    <xf numFmtId="0" fontId="3" fillId="9" borderId="0" xfId="0" applyFont="1" applyFill="1"/>
    <xf numFmtId="0" fontId="10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18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0" fillId="0" borderId="2" xfId="0" applyFont="1" applyBorder="1" applyAlignment="1">
      <alignment vertic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34" fillId="8" borderId="2" xfId="1" applyBorder="1" applyAlignment="1">
      <alignment vertical="top"/>
    </xf>
    <xf numFmtId="0" fontId="34" fillId="8" borderId="2" xfId="1" applyBorder="1" applyAlignment="1">
      <alignment horizontal="left" vertical="top"/>
    </xf>
    <xf numFmtId="0" fontId="25" fillId="10" borderId="2" xfId="0" applyFont="1" applyFill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 shrinkToFit="1"/>
    </xf>
    <xf numFmtId="49" fontId="0" fillId="11" borderId="1" xfId="0" applyNumberFormat="1" applyFill="1" applyBorder="1" applyAlignment="1">
      <alignment horizontal="right"/>
    </xf>
    <xf numFmtId="1" fontId="0" fillId="11" borderId="2" xfId="0" applyNumberFormat="1" applyFill="1" applyBorder="1" applyAlignment="1">
      <alignment horizontal="right"/>
    </xf>
    <xf numFmtId="49" fontId="0" fillId="11" borderId="2" xfId="0" applyNumberFormat="1" applyFill="1" applyBorder="1" applyAlignment="1">
      <alignment horizontal="right"/>
    </xf>
    <xf numFmtId="0" fontId="0" fillId="11" borderId="2" xfId="0" applyFill="1" applyBorder="1" applyAlignment="1">
      <alignment horizontal="right"/>
    </xf>
    <xf numFmtId="0" fontId="0" fillId="11" borderId="2" xfId="0" applyFill="1" applyBorder="1"/>
    <xf numFmtId="0" fontId="0" fillId="5" borderId="2" xfId="0" applyFill="1" applyBorder="1" applyAlignment="1">
      <alignment horizontal="right"/>
    </xf>
    <xf numFmtId="49" fontId="0" fillId="5" borderId="2" xfId="0" applyNumberFormat="1" applyFill="1" applyBorder="1" applyAlignment="1">
      <alignment horizontal="right"/>
    </xf>
    <xf numFmtId="49" fontId="0" fillId="10" borderId="2" xfId="0" applyNumberFormat="1" applyFill="1" applyBorder="1" applyAlignment="1">
      <alignment horizontal="right"/>
    </xf>
    <xf numFmtId="0" fontId="0" fillId="10" borderId="2" xfId="0" applyFill="1" applyBorder="1"/>
    <xf numFmtId="0" fontId="0" fillId="10" borderId="0" xfId="0" applyFill="1"/>
    <xf numFmtId="0" fontId="17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11" fillId="0" borderId="2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8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top"/>
    </xf>
    <xf numFmtId="0" fontId="0" fillId="0" borderId="5" xfId="0" applyBorder="1" applyAlignment="1">
      <alignment vertical="top"/>
    </xf>
  </cellXfs>
  <cellStyles count="2">
    <cellStyle name="Accent1" xfId="1" builtinId="29"/>
    <cellStyle name="Normal" xfId="0" builtinId="0"/>
  </cellStyles>
  <dxfs count="23"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66"/>
      <color rgb="FF008000"/>
      <color rgb="FF66FF33"/>
      <color rgb="FF6600CC"/>
      <color rgb="FFFF9999"/>
      <color rgb="FFD0FFC1"/>
      <color rgb="FF0000FF"/>
      <color rgb="FFFF6600"/>
      <color rgb="FFFF717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4CD33-8CB8-48BF-BA18-666BD8B49400}" name="OfficeForms.Table" displayName="OfficeForms.Table" ref="A1:W109" totalsRowShown="0">
  <tableColumns count="23">
    <tableColumn id="1" xr3:uid="{739E2C2C-A5E6-48BF-A84B-05B18AEC0D97}" name="Id" dataDxfId="22"/>
    <tableColumn id="5" xr3:uid="{0C3EC73A-16FE-4ADE-BE04-612FF3B79185}" name="Naam" dataDxfId="21"/>
    <tableColumn id="6" xr3:uid="{9EECC947-1B43-4D2E-8077-516C38680F15}" name="1" dataDxfId="20"/>
    <tableColumn id="7" xr3:uid="{55402395-19C1-4225-B5B9-4FF2279C14D6}" name="2" dataDxfId="19"/>
    <tableColumn id="2" xr3:uid="{72D2227B-E634-49F5-8B4A-E8256ED002AD}" name="3" dataDxfId="18"/>
    <tableColumn id="3" xr3:uid="{2D2D71B3-EFA6-497A-91BA-C4B0F960EAC7}" name="4" dataDxfId="17"/>
    <tableColumn id="8" xr3:uid="{7B0C2CB3-FD63-436F-B846-8FB87C29CACE}" name="5" dataDxfId="16"/>
    <tableColumn id="9" xr3:uid="{99C3DD0D-13CD-4878-BBF3-0BD7C0C6CC0A}" name="6" dataDxfId="15"/>
    <tableColumn id="10" xr3:uid="{A0EA1430-A986-4F92-94B9-3C053BECB88F}" name="7" dataDxfId="14"/>
    <tableColumn id="11" xr3:uid="{4BA682D8-1EC6-4B28-8A2E-19E93DEA72F8}" name="8" dataDxfId="13"/>
    <tableColumn id="12" xr3:uid="{8E1A24D7-95BF-4998-A406-6A3CE53AAE21}" name="9" dataDxfId="12"/>
    <tableColumn id="13" xr3:uid="{7D27FCCC-7E92-4FA4-9E7F-54CB789B6975}" name="10" dataDxfId="11"/>
    <tableColumn id="14" xr3:uid="{2E80B77B-3D32-49F0-84E8-56AB10B860DB}" name="11" dataDxfId="10"/>
    <tableColumn id="15" xr3:uid="{95F49681-09C3-4890-AF71-24AF509D49F6}" name="12" dataDxfId="9"/>
    <tableColumn id="16" xr3:uid="{9459AC51-4D76-4CAF-8DB9-BA0D44AA78C4}" name="13" dataDxfId="8"/>
    <tableColumn id="17" xr3:uid="{37FAF31E-A8FF-4370-AE64-37703C1B63DE}" name="14" dataDxfId="7"/>
    <tableColumn id="18" xr3:uid="{1EF3C039-5AC0-4EFF-ADE8-9DB18F507CED}" name="15" dataDxfId="6"/>
    <tableColumn id="4" xr3:uid="{04936D5E-E1F1-4DD5-BBE2-DA8C8A685042}" name="16" dataDxfId="5"/>
    <tableColumn id="19" xr3:uid="{9B26DE9E-2D25-463C-BC69-4580EE3B0BEA}" name="17" dataDxfId="4"/>
    <tableColumn id="20" xr3:uid="{0E2DEDAE-FB8A-4C3C-A247-19B3FA008ED4}" name="18" dataDxfId="3"/>
    <tableColumn id="21" xr3:uid="{EC75A5D4-1076-40AE-AF05-899AD0A9C73E}" name="19" dataDxfId="2"/>
    <tableColumn id="22" xr3:uid="{579D832D-ACB3-457D-9536-2D7F3092016A}" name="20" dataDxfId="1"/>
    <tableColumn id="23" xr3:uid="{FA345705-D869-445A-BFBA-6C5920FC99E8}" name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"/>
  <sheetViews>
    <sheetView showGridLines="0" showRuler="0" zoomScaleNormal="100" zoomScalePageLayoutView="67" workbookViewId="0">
      <selection activeCell="F5" sqref="F5:AA6"/>
    </sheetView>
  </sheetViews>
  <sheetFormatPr defaultRowHeight="14.5" x14ac:dyDescent="0.35"/>
  <cols>
    <col min="1" max="1" width="6.6328125" customWidth="1"/>
    <col min="2" max="2" width="5.453125" customWidth="1"/>
    <col min="3" max="3" width="8" customWidth="1"/>
    <col min="4" max="4" width="0.90625" customWidth="1"/>
    <col min="5" max="5" width="3.81640625" customWidth="1"/>
    <col min="6" max="6" width="10.453125" customWidth="1"/>
    <col min="7" max="7" width="17.90625" customWidth="1"/>
    <col min="8" max="8" width="0.90625" customWidth="1"/>
    <col min="9" max="9" width="3.54296875" bestFit="1" customWidth="1"/>
    <col min="10" max="10" width="10.453125" customWidth="1"/>
    <col min="11" max="11" width="21.08984375" customWidth="1"/>
    <col min="12" max="12" width="0.90625" customWidth="1"/>
    <col min="13" max="13" width="3.54296875" bestFit="1" customWidth="1"/>
    <col min="14" max="14" width="10.36328125" customWidth="1"/>
    <col min="15" max="15" width="21" customWidth="1"/>
    <col min="16" max="16" width="0.90625" customWidth="1"/>
    <col min="17" max="17" width="3.54296875" bestFit="1" customWidth="1"/>
    <col min="18" max="18" width="9.6328125" customWidth="1"/>
    <col min="19" max="19" width="19.90625" customWidth="1"/>
    <col min="20" max="20" width="0.90625" customWidth="1"/>
    <col min="21" max="21" width="3.54296875" bestFit="1" customWidth="1"/>
    <col min="22" max="22" width="9.6328125" bestFit="1" customWidth="1"/>
    <col min="23" max="23" width="21.54296875" customWidth="1"/>
    <col min="24" max="24" width="0.90625" customWidth="1"/>
    <col min="25" max="25" width="3.54296875" bestFit="1" customWidth="1"/>
    <col min="26" max="26" width="11.08984375" customWidth="1"/>
    <col min="27" max="27" width="19.90625" customWidth="1"/>
  </cols>
  <sheetData>
    <row r="1" spans="1:27" ht="16.5" customHeight="1" x14ac:dyDescent="0.35">
      <c r="A1" s="7" t="s">
        <v>370</v>
      </c>
      <c r="B1" s="7"/>
      <c r="C1" s="7"/>
      <c r="D1" s="7"/>
      <c r="E1" s="7"/>
      <c r="F1" s="7"/>
      <c r="G1" s="7"/>
      <c r="H1" s="7"/>
      <c r="I1" s="8"/>
      <c r="J1" s="7"/>
      <c r="K1" s="7"/>
      <c r="L1" s="7"/>
      <c r="M1" s="8"/>
      <c r="N1" s="7"/>
      <c r="O1" s="7"/>
      <c r="P1" s="7"/>
      <c r="Q1" s="8"/>
      <c r="R1" s="7"/>
      <c r="S1" s="7"/>
      <c r="T1" s="7"/>
      <c r="U1" s="8"/>
      <c r="V1" s="7"/>
      <c r="W1" s="7"/>
      <c r="X1" s="7"/>
      <c r="Y1" s="8"/>
      <c r="Z1" s="7"/>
      <c r="AA1" s="7"/>
    </row>
    <row r="2" spans="1:27" ht="8.25" customHeight="1" x14ac:dyDescent="0.35">
      <c r="E2" s="9"/>
      <c r="G2" s="5"/>
      <c r="I2" s="9"/>
      <c r="K2" s="5"/>
      <c r="M2" s="9"/>
      <c r="O2" s="5"/>
      <c r="Q2" s="9"/>
      <c r="S2" s="5"/>
      <c r="U2" s="9"/>
      <c r="W2" s="5"/>
      <c r="Y2" s="9"/>
      <c r="AA2" s="5"/>
    </row>
    <row r="3" spans="1:27" s="1" customFormat="1" ht="11.15" customHeight="1" x14ac:dyDescent="0.4">
      <c r="C3" s="2"/>
      <c r="D3" s="2"/>
      <c r="E3" s="9"/>
      <c r="H3" s="2"/>
      <c r="I3" s="9"/>
      <c r="L3" s="2"/>
      <c r="M3" s="9"/>
      <c r="P3" s="2"/>
      <c r="Q3" s="9"/>
      <c r="T3" s="2"/>
      <c r="U3" s="9"/>
      <c r="X3" s="2"/>
      <c r="Y3" s="9"/>
    </row>
    <row r="4" spans="1:27" s="3" customFormat="1" ht="17.149999999999999" customHeight="1" x14ac:dyDescent="0.35">
      <c r="A4" s="81" t="s">
        <v>192</v>
      </c>
      <c r="B4" s="81" t="s">
        <v>235</v>
      </c>
      <c r="C4" s="85" t="s">
        <v>231</v>
      </c>
      <c r="D4" s="101"/>
      <c r="E4" s="129" t="s">
        <v>17</v>
      </c>
      <c r="F4" s="129"/>
      <c r="G4" s="129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</row>
    <row r="5" spans="1:27" s="3" customFormat="1" ht="29.4" customHeight="1" x14ac:dyDescent="0.35">
      <c r="A5" s="123" t="s">
        <v>193</v>
      </c>
      <c r="B5" s="123" t="s">
        <v>194</v>
      </c>
      <c r="C5" s="124" t="s">
        <v>6</v>
      </c>
      <c r="D5" s="77"/>
      <c r="E5" s="125">
        <v>46</v>
      </c>
      <c r="F5" s="119" t="str">
        <f>VLOOKUP(E5,'Lezingen 2025'!$A$1:$F$61,2)</f>
        <v>Agrifirm Plenair zaal Molenhoek: Totaal Gewas Aanpak</v>
      </c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</row>
    <row r="6" spans="1:27" s="3" customFormat="1" ht="28.75" hidden="1" customHeight="1" x14ac:dyDescent="0.35">
      <c r="A6" s="123"/>
      <c r="B6" s="123"/>
      <c r="C6" s="124"/>
      <c r="D6" s="77"/>
      <c r="E6" s="125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</row>
    <row r="7" spans="1:27" s="3" customFormat="1" ht="17" x14ac:dyDescent="0.35">
      <c r="A7" s="81" t="s">
        <v>195</v>
      </c>
      <c r="B7" s="81" t="s">
        <v>196</v>
      </c>
      <c r="C7" s="82" t="s">
        <v>36</v>
      </c>
      <c r="D7" s="83"/>
      <c r="E7" s="84"/>
      <c r="F7" s="121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</row>
    <row r="8" spans="1:27" s="4" customFormat="1" ht="24.75" customHeight="1" x14ac:dyDescent="0.35">
      <c r="A8" s="74"/>
      <c r="B8" s="75"/>
      <c r="C8" s="76"/>
      <c r="D8" s="101"/>
      <c r="E8" s="131" t="s">
        <v>24</v>
      </c>
      <c r="F8" s="131"/>
      <c r="G8" s="99" t="s">
        <v>2</v>
      </c>
      <c r="H8" s="101"/>
      <c r="I8" s="131" t="s">
        <v>25</v>
      </c>
      <c r="J8" s="131"/>
      <c r="K8" s="99" t="s">
        <v>2</v>
      </c>
      <c r="L8" s="101"/>
      <c r="M8" s="131" t="s">
        <v>372</v>
      </c>
      <c r="N8" s="131"/>
      <c r="O8" s="99" t="s">
        <v>2</v>
      </c>
      <c r="P8" s="101"/>
      <c r="Q8" s="132" t="s">
        <v>26</v>
      </c>
      <c r="R8" s="132"/>
      <c r="S8" s="99" t="s">
        <v>2</v>
      </c>
      <c r="T8" s="101"/>
      <c r="U8" s="131" t="s">
        <v>27</v>
      </c>
      <c r="V8" s="131"/>
      <c r="W8" s="99" t="s">
        <v>2</v>
      </c>
      <c r="X8" s="101"/>
      <c r="Y8" s="132" t="s">
        <v>35</v>
      </c>
      <c r="Z8" s="131"/>
      <c r="AA8" s="99" t="s">
        <v>2</v>
      </c>
    </row>
    <row r="9" spans="1:27" s="3" customFormat="1" ht="39" customHeight="1" x14ac:dyDescent="0.35">
      <c r="A9" s="123" t="s">
        <v>198</v>
      </c>
      <c r="B9" s="123" t="s">
        <v>197</v>
      </c>
      <c r="C9" s="124" t="s">
        <v>7</v>
      </c>
      <c r="D9" s="77"/>
      <c r="E9" s="125">
        <v>23</v>
      </c>
      <c r="F9" s="80" t="str">
        <f>VLOOKUP(E9,'Lezingen 2025'!$A$1:$F$61,2)</f>
        <v>CropLife</v>
      </c>
      <c r="G9" s="80" t="str">
        <f>VLOOKUP(E9,'Lezingen 2025'!$A$1:$F$61,3)</f>
        <v>Eric Kiers</v>
      </c>
      <c r="H9" s="93"/>
      <c r="I9" s="117">
        <v>4</v>
      </c>
      <c r="J9" s="80" t="str">
        <f>VLOOKUP(I9,'Lezingen 2025'!$A$1:$F$61,2)</f>
        <v>BASF</v>
      </c>
      <c r="K9" s="80" t="str">
        <f>VLOOKUP(I9,'Lezingen 2025'!$A$1:$F$61,3)</f>
        <v>Bert Westhoff</v>
      </c>
      <c r="L9" s="93"/>
      <c r="M9" s="117">
        <v>51</v>
      </c>
      <c r="N9" s="80" t="str">
        <f>VLOOKUP(M9,'Lezingen 2025'!$A$1:$F$61,2)</f>
        <v>Agrifirm &amp; UPL</v>
      </c>
      <c r="O9" s="80" t="str">
        <f>VLOOKUP(M9,'Lezingen 2025'!$A$1:$F$61,3)</f>
        <v>Joris Roskam &amp;     Marcel van Doorne</v>
      </c>
      <c r="P9" s="93"/>
      <c r="Q9" s="117">
        <v>25</v>
      </c>
      <c r="R9" s="80" t="str">
        <f>VLOOKUP(Q9,'Lezingen 2025'!$A$1:$F$61,2)</f>
        <v>FMC</v>
      </c>
      <c r="S9" s="80" t="str">
        <f>VLOOKUP(Q9,'Lezingen 2025'!$A$1:$F$61,3)</f>
        <v>Anton Bom</v>
      </c>
      <c r="T9" s="93"/>
      <c r="U9" s="117">
        <v>38</v>
      </c>
      <c r="V9" s="80" t="str">
        <f>VLOOKUP(U9,'Lezingen 2025'!$A$1:$F$61,2)</f>
        <v>Pireco</v>
      </c>
      <c r="W9" s="80" t="str">
        <f>VLOOKUP(U9,'Lezingen 2025'!$A$1:$F$61,3)</f>
        <v>Weimar de Ridder</v>
      </c>
      <c r="X9" s="93"/>
      <c r="Y9" s="117">
        <v>47</v>
      </c>
      <c r="Z9" s="80" t="str">
        <f>VLOOKUP(Y9,'Lezingen 2025'!$A$1:$F$61,2)</f>
        <v>Agrifirm</v>
      </c>
      <c r="AA9" s="80" t="str">
        <f>VLOOKUP(Y9,'Lezingen 2025'!$A$1:$F$61,3)</f>
        <v>Fokko Prins</v>
      </c>
    </row>
    <row r="10" spans="1:27" s="3" customFormat="1" ht="43.25" customHeight="1" x14ac:dyDescent="0.35">
      <c r="A10" s="123"/>
      <c r="B10" s="123"/>
      <c r="C10" s="124"/>
      <c r="D10" s="77"/>
      <c r="E10" s="125"/>
      <c r="F10" s="80" t="str">
        <f>VLOOKUP(E9,'Lezingen 2025'!$A$1:$F$61,4)</f>
        <v>algemeen</v>
      </c>
      <c r="G10" s="80" t="str">
        <f>VLOOKUP(E9,'Lezingen 2025'!$A$1:$F$61,5)</f>
        <v>GBM en PFAS, hoe zit het?</v>
      </c>
      <c r="H10" s="93"/>
      <c r="I10" s="118"/>
      <c r="J10" s="80" t="str">
        <f>VLOOKUP(I9,'Lezingen 2025'!$A$1:$F$61,4)</f>
        <v>aardappel</v>
      </c>
      <c r="K10" s="80" t="str">
        <f>VLOOKUP(I9,'Lezingen 2025'!$A$1:$F$61,5)</f>
        <v>Nieuwe phytophthora strategie met Zampro Plus</v>
      </c>
      <c r="L10" s="93"/>
      <c r="M10" s="118"/>
      <c r="N10" s="80" t="str">
        <f>VLOOKUP(M9,'Lezingen 2025'!$A$1:$F$61,4)</f>
        <v>bieten</v>
      </c>
      <c r="O10" s="80" t="str">
        <f>VLOOKUP(M9,'Lezingen 2025'!$A$1:$F$61,5)</f>
        <v>GEWASKRACHT REEF technische introductie</v>
      </c>
      <c r="P10" s="93"/>
      <c r="Q10" s="118"/>
      <c r="R10" s="80" t="str">
        <f>VLOOKUP(Q9,'Lezingen 2025'!$A$1:$F$61,4)</f>
        <v>bieten</v>
      </c>
      <c r="S10" s="80" t="str">
        <f>VLOOKUP(Q9,'Lezingen 2025'!$A$1:$F$61,5)</f>
        <v>Actualiteiten in bieten, onkruid en insectenbestrijding</v>
      </c>
      <c r="T10" s="93"/>
      <c r="U10" s="117"/>
      <c r="V10" s="80" t="str">
        <f>VLOOKUP(U9,'Lezingen 2025'!$A$1:$F$61,4)</f>
        <v>uien</v>
      </c>
      <c r="W10" s="80" t="str">
        <f>VLOOKUP(U9,'Lezingen 2025'!$A$1:$F$61,5)</f>
        <v xml:space="preserve">Toekomstige weerbare uienteelt </v>
      </c>
      <c r="X10" s="93"/>
      <c r="Y10" s="117"/>
      <c r="Z10" s="80" t="str">
        <f>VLOOKUP(Y9,'Lezingen 2025'!$A$1:$F$61,4)</f>
        <v>algemeen</v>
      </c>
      <c r="AA10" s="80" t="str">
        <f>VLOOKUP(Y9,'Lezingen 2025'!$A$1:$F$61,5)</f>
        <v>Concepten ontwikkeling en uitrol</v>
      </c>
    </row>
    <row r="11" spans="1:27" s="3" customFormat="1" ht="17" x14ac:dyDescent="0.35">
      <c r="A11" s="81" t="s">
        <v>199</v>
      </c>
      <c r="B11" s="81" t="s">
        <v>200</v>
      </c>
      <c r="C11" s="82" t="s">
        <v>37</v>
      </c>
      <c r="D11" s="83"/>
      <c r="E11" s="84"/>
      <c r="F11" s="92"/>
      <c r="G11" s="92"/>
      <c r="H11" s="93"/>
      <c r="I11" s="94"/>
      <c r="J11" s="92"/>
      <c r="K11" s="95"/>
      <c r="L11" s="93"/>
      <c r="M11" s="94"/>
      <c r="N11" s="92"/>
      <c r="O11" s="95"/>
      <c r="P11" s="93"/>
      <c r="Q11" s="94"/>
      <c r="R11" s="87"/>
      <c r="S11" s="87"/>
      <c r="T11" s="93"/>
      <c r="U11" s="94"/>
      <c r="V11" s="87"/>
      <c r="W11" s="95"/>
      <c r="X11" s="93"/>
      <c r="Y11" s="94"/>
      <c r="Z11" s="87"/>
      <c r="AA11" s="95"/>
    </row>
    <row r="12" spans="1:27" s="3" customFormat="1" ht="39" customHeight="1" x14ac:dyDescent="0.35">
      <c r="A12" s="123" t="s">
        <v>202</v>
      </c>
      <c r="B12" s="123" t="s">
        <v>201</v>
      </c>
      <c r="C12" s="124" t="s">
        <v>8</v>
      </c>
      <c r="D12" s="77"/>
      <c r="E12" s="125">
        <v>2</v>
      </c>
      <c r="F12" s="80" t="str">
        <f>VLOOKUP(E12,'Lezingen 2025'!$A$1:$F$61,2)</f>
        <v>ADAMA</v>
      </c>
      <c r="G12" s="80" t="str">
        <f>VLOOKUP(E12,'Lezingen 2025'!$A$1:$F$61,3)</f>
        <v>Hanko Blok</v>
      </c>
      <c r="H12" s="93"/>
      <c r="I12" s="117">
        <v>4</v>
      </c>
      <c r="J12" s="80" t="str">
        <f>VLOOKUP(I12,'Lezingen 2025'!$A$1:$F$61,2)</f>
        <v>BASF</v>
      </c>
      <c r="K12" s="80" t="str">
        <f>VLOOKUP(I12,'Lezingen 2025'!$A$1:$F$61,3)</f>
        <v>Bert Westhoff</v>
      </c>
      <c r="L12" s="93"/>
      <c r="M12" s="117">
        <v>51</v>
      </c>
      <c r="N12" s="80" t="str">
        <f>VLOOKUP(M12,'Lezingen 2025'!$A$1:$F$61,2)</f>
        <v>Agrifirm &amp; UPL</v>
      </c>
      <c r="O12" s="80" t="str">
        <f>VLOOKUP(M12,'Lezingen 2025'!$A$1:$F$61,3)</f>
        <v>Joris Roskam &amp;     Marcel van Doorne</v>
      </c>
      <c r="P12" s="93"/>
      <c r="Q12" s="117">
        <v>26</v>
      </c>
      <c r="R12" s="80" t="str">
        <f>VLOOKUP(Q12,'Lezingen 2025'!$A$1:$F$61,2)</f>
        <v>FMC</v>
      </c>
      <c r="S12" s="80" t="str">
        <f>VLOOKUP(Q12,'Lezingen 2025'!$A$1:$F$61,3)</f>
        <v>Anton Bom</v>
      </c>
      <c r="T12" s="93"/>
      <c r="U12" s="117">
        <v>38</v>
      </c>
      <c r="V12" s="80" t="str">
        <f>VLOOKUP(U12,'Lezingen 2025'!$A$1:$F$61,2)</f>
        <v>Pireco</v>
      </c>
      <c r="W12" s="80" t="str">
        <f>VLOOKUP(U12,'Lezingen 2025'!$A$1:$F$61,3)</f>
        <v>Weimar de Ridder</v>
      </c>
      <c r="X12" s="93"/>
      <c r="Y12" s="117">
        <v>47</v>
      </c>
      <c r="Z12" s="80" t="str">
        <f>VLOOKUP(Y12,'Lezingen 2025'!$A$1:$F$61,2)</f>
        <v>Agrifirm</v>
      </c>
      <c r="AA12" s="80" t="str">
        <f>VLOOKUP(Y12,'Lezingen 2025'!$A$1:$F$61,3)</f>
        <v>Fokko Prins</v>
      </c>
    </row>
    <row r="13" spans="1:27" s="3" customFormat="1" ht="45.65" customHeight="1" x14ac:dyDescent="0.35">
      <c r="A13" s="123"/>
      <c r="B13" s="123"/>
      <c r="C13" s="124"/>
      <c r="D13" s="77"/>
      <c r="E13" s="125"/>
      <c r="F13" s="80" t="str">
        <f>VLOOKUP(E12,'Lezingen 2025'!$A$1:$F$61,4)</f>
        <v>bieten</v>
      </c>
      <c r="G13" s="80" t="str">
        <f>VLOOKUP(E12,'Lezingen 2025'!$A$1:$F$61,5)</f>
        <v>Verdieping resistentieproblema- tiek bietenteelt</v>
      </c>
      <c r="H13" s="93"/>
      <c r="I13" s="117"/>
      <c r="J13" s="80" t="str">
        <f>VLOOKUP(I12,'Lezingen 2025'!$A$1:$F$61,4)</f>
        <v>aardappel</v>
      </c>
      <c r="K13" s="80" t="str">
        <f>VLOOKUP(I12,'Lezingen 2025'!$A$1:$F$61,5)</f>
        <v>Nieuwe phytophthora strategie met Zampro Plus</v>
      </c>
      <c r="L13" s="93"/>
      <c r="M13" s="117"/>
      <c r="N13" s="80" t="str">
        <f>VLOOKUP(M12,'Lezingen 2025'!$A$1:$F$61,4)</f>
        <v>bieten</v>
      </c>
      <c r="O13" s="80" t="str">
        <f>VLOOKUP(M12,'Lezingen 2025'!$A$1:$F$61,5)</f>
        <v>GEWASKRACHT REEF technische introductie</v>
      </c>
      <c r="P13" s="93"/>
      <c r="Q13" s="117"/>
      <c r="R13" s="80" t="str">
        <f>VLOOKUP(Q12,'Lezingen 2025'!$A$1:$F$61,4)</f>
        <v>aardappel</v>
      </c>
      <c r="S13" s="80" t="str">
        <f>VLOOKUP(Q12,'Lezingen 2025'!$A$1:$F$61,5)</f>
        <v xml:space="preserve">Actualiteiten aardappel, herbiciden, fungiciden, loofdoding </v>
      </c>
      <c r="T13" s="93"/>
      <c r="U13" s="117"/>
      <c r="V13" s="80" t="str">
        <f>VLOOKUP(U12,'Lezingen 2025'!$A$1:$F$61,4)</f>
        <v>uien</v>
      </c>
      <c r="W13" s="80" t="str">
        <f>VLOOKUP(U12,'Lezingen 2025'!$A$1:$F$61,5)</f>
        <v xml:space="preserve">Toekomstige weerbare uienteelt </v>
      </c>
      <c r="X13" s="93"/>
      <c r="Y13" s="117"/>
      <c r="Z13" s="80" t="str">
        <f>VLOOKUP(Y12,'Lezingen 2025'!$A$1:$F$61,4)</f>
        <v>algemeen</v>
      </c>
      <c r="AA13" s="80" t="str">
        <f>VLOOKUP(Y12,'Lezingen 2025'!$A$1:$F$61,5)</f>
        <v>Concepten ontwikkeling en uitrol</v>
      </c>
    </row>
    <row r="14" spans="1:27" s="3" customFormat="1" ht="17" x14ac:dyDescent="0.35">
      <c r="A14" s="81" t="s">
        <v>203</v>
      </c>
      <c r="B14" s="81" t="s">
        <v>204</v>
      </c>
      <c r="C14" s="82" t="s">
        <v>36</v>
      </c>
      <c r="D14" s="83"/>
      <c r="E14" s="84"/>
      <c r="F14" s="92"/>
      <c r="G14" s="92"/>
      <c r="H14" s="93"/>
      <c r="I14" s="94"/>
      <c r="J14" s="87"/>
      <c r="K14" s="87"/>
      <c r="L14" s="93"/>
      <c r="M14" s="94"/>
      <c r="N14" s="87"/>
      <c r="O14" s="87"/>
      <c r="P14" s="93"/>
      <c r="Q14" s="94"/>
      <c r="R14" s="92"/>
      <c r="S14" s="92"/>
      <c r="T14" s="93"/>
      <c r="U14" s="94"/>
      <c r="V14" s="92"/>
      <c r="W14" s="92"/>
      <c r="X14" s="93"/>
      <c r="Y14" s="94"/>
      <c r="Z14" s="92"/>
      <c r="AA14" s="92"/>
    </row>
    <row r="15" spans="1:27" s="3" customFormat="1" ht="39" customHeight="1" x14ac:dyDescent="0.35">
      <c r="A15" s="123" t="s">
        <v>205</v>
      </c>
      <c r="B15" s="123" t="s">
        <v>206</v>
      </c>
      <c r="C15" s="124" t="s">
        <v>9</v>
      </c>
      <c r="D15" s="77"/>
      <c r="E15" s="125">
        <v>23</v>
      </c>
      <c r="F15" s="80" t="str">
        <f>VLOOKUP(E15,'Lezingen 2025'!$A$1:$F$61,2)</f>
        <v>CropLife</v>
      </c>
      <c r="G15" s="80" t="str">
        <f>VLOOKUP(E15,'Lezingen 2025'!$A$1:$F$61,3)</f>
        <v>Eric Kiers</v>
      </c>
      <c r="H15" s="93"/>
      <c r="I15" s="117">
        <v>5</v>
      </c>
      <c r="J15" s="80" t="str">
        <f>VLOOKUP(I15,'Lezingen 2025'!$A$1:$F$61,2)</f>
        <v>BASF</v>
      </c>
      <c r="K15" s="80" t="str">
        <f>VLOOKUP(I15,'Lezingen 2025'!$A$1:$F$61,3)</f>
        <v>Guus Bergmans</v>
      </c>
      <c r="L15" s="93"/>
      <c r="M15" s="117">
        <v>51</v>
      </c>
      <c r="N15" s="80" t="str">
        <f>VLOOKUP(M15,'Lezingen 2025'!$A$1:$F$61,2)</f>
        <v>Agrifirm &amp; UPL</v>
      </c>
      <c r="O15" s="80" t="str">
        <f>VLOOKUP(M15,'Lezingen 2025'!$A$1:$F$61,3)</f>
        <v>Joris Roskam &amp;     Marcel van Doorne</v>
      </c>
      <c r="P15" s="93"/>
      <c r="Q15" s="117">
        <v>52</v>
      </c>
      <c r="R15" s="80" t="str">
        <f>VLOOKUP(Q15,'Lezingen 2025'!$A$1:$F$61,2)</f>
        <v>Agrifirm</v>
      </c>
      <c r="S15" s="80" t="str">
        <f>VLOOKUP(Q15,'Lezingen 2025'!$A$1:$F$61,3)</f>
        <v>Gewasbescherming in een notedop</v>
      </c>
      <c r="T15" s="93"/>
      <c r="U15" s="117">
        <v>50</v>
      </c>
      <c r="V15" s="80" t="str">
        <f>VLOOKUP(U15,'Lezingen 2025'!$A$1:$F$61,2)</f>
        <v>Agrifirm</v>
      </c>
      <c r="W15" s="80" t="str">
        <f>VLOOKUP(U15,'Lezingen 2025'!$A$1:$F$61,3)</f>
        <v>Evert Hofman &amp; Abemec</v>
      </c>
      <c r="X15" s="93"/>
      <c r="Y15" s="117">
        <v>47</v>
      </c>
      <c r="Z15" s="80" t="str">
        <f>VLOOKUP(Y15,'Lezingen 2025'!$A$1:$F$61,2)</f>
        <v>Agrifirm</v>
      </c>
      <c r="AA15" s="80" t="str">
        <f>VLOOKUP(Y15,'Lezingen 2025'!$A$1:$F$61,3)</f>
        <v>Fokko Prins</v>
      </c>
    </row>
    <row r="16" spans="1:27" s="3" customFormat="1" ht="43.25" customHeight="1" x14ac:dyDescent="0.35">
      <c r="A16" s="123"/>
      <c r="B16" s="123"/>
      <c r="C16" s="124"/>
      <c r="D16" s="77"/>
      <c r="E16" s="125"/>
      <c r="F16" s="80" t="str">
        <f>VLOOKUP(E15,'Lezingen 2025'!$A$1:$F$61,4)</f>
        <v>algemeen</v>
      </c>
      <c r="G16" s="80" t="str">
        <f>VLOOKUP(E15,'Lezingen 2025'!$A$1:$F$61,5)</f>
        <v>GBM en PFAS, hoe zit het?</v>
      </c>
      <c r="H16" s="93"/>
      <c r="I16" s="117"/>
      <c r="J16" s="80" t="str">
        <f>VLOOKUP(I15,'Lezingen 2025'!$A$1:$F$61,4)</f>
        <v>uien</v>
      </c>
      <c r="K16" s="80" t="str">
        <f>VLOOKUP(I15,'Lezingen 2025'!$A$1:$F$61,5)</f>
        <v>Nieuw: Divexo tegen valse meeldauw + uitdagingen  onkruidbestrijding</v>
      </c>
      <c r="L16" s="93"/>
      <c r="M16" s="117"/>
      <c r="N16" s="80" t="str">
        <f>VLOOKUP(M15,'Lezingen 2025'!$A$1:$F$61,4)</f>
        <v>bieten</v>
      </c>
      <c r="O16" s="80" t="str">
        <f>VLOOKUP(M15,'Lezingen 2025'!$A$1:$F$61,5)</f>
        <v>GEWASKRACHT REEF technische introductie</v>
      </c>
      <c r="P16" s="93"/>
      <c r="Q16" s="117"/>
      <c r="R16" s="80" t="str">
        <f>VLOOKUP(Q15,'Lezingen 2025'!$A$1:$F$61,4)</f>
        <v>algemeen</v>
      </c>
      <c r="S16" s="80" t="str">
        <f>VLOOKUP(Q15,'Lezingen 2025'!$A$1:$F$61,5)</f>
        <v>introductie voor Abemec</v>
      </c>
      <c r="T16" s="93"/>
      <c r="U16" s="117"/>
      <c r="V16" s="80" t="str">
        <f>VLOOKUP(U15,'Lezingen 2025'!$A$1:$F$61,4)</f>
        <v>algemeen</v>
      </c>
      <c r="W16" s="80" t="str">
        <f>VLOOKUP(U15,'Lezingen 2025'!$A$1:$F$61,5)</f>
        <v>Toekomst Techniek toepassing GBM</v>
      </c>
      <c r="X16" s="93"/>
      <c r="Y16" s="117"/>
      <c r="Z16" s="80" t="str">
        <f>VLOOKUP(Y15,'Lezingen 2025'!$A$1:$F$61,4)</f>
        <v>algemeen</v>
      </c>
      <c r="AA16" s="80" t="str">
        <f>VLOOKUP(Y15,'Lezingen 2025'!$A$1:$F$61,5)</f>
        <v>Concepten ontwikkeling en uitrol</v>
      </c>
    </row>
    <row r="17" spans="1:28" s="3" customFormat="1" ht="17" x14ac:dyDescent="0.35">
      <c r="A17" s="81" t="s">
        <v>207</v>
      </c>
      <c r="B17" s="81" t="s">
        <v>208</v>
      </c>
      <c r="C17" s="82" t="s">
        <v>18</v>
      </c>
      <c r="D17" s="83"/>
      <c r="E17" s="84"/>
      <c r="F17" s="92"/>
      <c r="G17" s="92"/>
      <c r="H17" s="93"/>
      <c r="I17" s="94"/>
      <c r="J17" s="87"/>
      <c r="K17" s="87"/>
      <c r="L17" s="93"/>
      <c r="M17" s="94"/>
      <c r="N17" s="87"/>
      <c r="O17" s="87"/>
      <c r="P17" s="93"/>
      <c r="Q17" s="94"/>
      <c r="R17" s="87"/>
      <c r="S17" s="92"/>
      <c r="T17" s="93"/>
      <c r="U17" s="94"/>
      <c r="V17" s="92"/>
      <c r="W17" s="92"/>
      <c r="X17" s="93"/>
      <c r="Y17" s="94"/>
      <c r="Z17" s="92"/>
      <c r="AA17" s="92"/>
    </row>
    <row r="18" spans="1:28" s="3" customFormat="1" ht="39" customHeight="1" x14ac:dyDescent="0.35">
      <c r="A18" s="123" t="s">
        <v>209</v>
      </c>
      <c r="B18" s="123" t="s">
        <v>210</v>
      </c>
      <c r="C18" s="124" t="s">
        <v>10</v>
      </c>
      <c r="D18" s="77"/>
      <c r="E18" s="125">
        <v>42</v>
      </c>
      <c r="F18" s="80" t="str">
        <f>VLOOKUP(E18,'Lezingen 2025'!$A$1:$F$61,2)</f>
        <v>Syngenta</v>
      </c>
      <c r="G18" s="80" t="str">
        <f>VLOOKUP(E18,'Lezingen 2025'!$A$1:$F$61,3)</f>
        <v>Marnix Gijlers en Steven Dorrestijn</v>
      </c>
      <c r="H18" s="93"/>
      <c r="I18" s="117">
        <v>5</v>
      </c>
      <c r="J18" s="80" t="str">
        <f>VLOOKUP(I18,'Lezingen 2025'!$A$1:$F$61,2)</f>
        <v>BASF</v>
      </c>
      <c r="K18" s="80" t="str">
        <f>VLOOKUP(I18,'Lezingen 2025'!$A$1:$F$61,3)</f>
        <v>Guus Bergmans</v>
      </c>
      <c r="L18" s="93"/>
      <c r="M18" s="117">
        <v>7</v>
      </c>
      <c r="N18" s="80" t="str">
        <f>VLOOKUP(M18,'Lezingen 2025'!$A$1:$F$61,2)</f>
        <v>BASF</v>
      </c>
      <c r="O18" s="80" t="str">
        <f>VLOOKUP(M18,'Lezingen 2025'!$A$1:$F$61,3)</f>
        <v>Guus Bergmans</v>
      </c>
      <c r="P18" s="93"/>
      <c r="Q18" s="117">
        <v>49</v>
      </c>
      <c r="R18" s="80" t="str">
        <f>VLOOKUP(Q18,'Lezingen 2025'!$A$1:$F$61,2)</f>
        <v>Agrifirm</v>
      </c>
      <c r="S18" s="80" t="str">
        <f>VLOOKUP(Q18,'Lezingen 2025'!$A$1:$F$61,3)</f>
        <v>Mark Kersten</v>
      </c>
      <c r="T18" s="93"/>
      <c r="U18" s="117">
        <v>50</v>
      </c>
      <c r="V18" s="80" t="str">
        <f>VLOOKUP(U18,'Lezingen 2025'!$A$1:$F$61,2)</f>
        <v>Agrifirm</v>
      </c>
      <c r="W18" s="80" t="str">
        <f>VLOOKUP(U18,'Lezingen 2025'!$A$1:$F$61,3)</f>
        <v>Evert Hofman &amp; Abemec</v>
      </c>
      <c r="X18" s="93"/>
      <c r="Y18" s="117">
        <v>47</v>
      </c>
      <c r="Z18" s="80" t="str">
        <f>VLOOKUP(Y18,'Lezingen 2025'!$A$1:$F$61,2)</f>
        <v>Agrifirm</v>
      </c>
      <c r="AA18" s="80" t="str">
        <f>VLOOKUP(Y18,'Lezingen 2025'!$A$1:$F$61,3)</f>
        <v>Fokko Prins</v>
      </c>
    </row>
    <row r="19" spans="1:28" s="3" customFormat="1" ht="43.25" customHeight="1" x14ac:dyDescent="0.35">
      <c r="A19" s="123"/>
      <c r="B19" s="123"/>
      <c r="C19" s="124"/>
      <c r="D19" s="77"/>
      <c r="E19" s="125"/>
      <c r="F19" s="80" t="str">
        <f>VLOOKUP(E18,'Lezingen 2025'!$A$1:$F$61,4)</f>
        <v>aardappelen, ui en peen</v>
      </c>
      <c r="G19" s="80" t="str">
        <f>VLOOKUP(E18,'Lezingen 2025'!$A$1:$F$61,5)</f>
        <v>Hutspot voor gevorderden</v>
      </c>
      <c r="H19" s="93"/>
      <c r="I19" s="117"/>
      <c r="J19" s="80" t="str">
        <f>VLOOKUP(I18,'Lezingen 2025'!$A$1:$F$61,4)</f>
        <v>uien</v>
      </c>
      <c r="K19" s="80" t="str">
        <f>VLOOKUP(I18,'Lezingen 2025'!$A$1:$F$61,5)</f>
        <v>Nieuw: Divexo tegen valse meeldauw + uitdagingen  onkruidbestrijding</v>
      </c>
      <c r="L19" s="93"/>
      <c r="M19" s="117"/>
      <c r="N19" s="80" t="str">
        <f>VLOOKUP(M18,'Lezingen 2025'!$A$1:$F$61,4)</f>
        <v>bieten</v>
      </c>
      <c r="O19" s="80" t="str">
        <f>VLOOKUP(M18,'Lezingen 2025'!$A$1:$F$61,5)</f>
        <v>Slimme strategieën in bieten</v>
      </c>
      <c r="P19" s="93"/>
      <c r="Q19" s="117"/>
      <c r="R19" s="80" t="str">
        <f>VLOOKUP(Q18,'Lezingen 2025'!$A$1:$F$61,4)</f>
        <v>algemeen</v>
      </c>
      <c r="S19" s="80" t="str">
        <f>VLOOKUP(Q18,'Lezingen 2025'!$A$1:$F$61,5)</f>
        <v>Goed zaken doen</v>
      </c>
      <c r="T19" s="93"/>
      <c r="U19" s="117"/>
      <c r="V19" s="80" t="str">
        <f>VLOOKUP(U18,'Lezingen 2025'!$A$1:$F$61,4)</f>
        <v>algemeen</v>
      </c>
      <c r="W19" s="80" t="str">
        <f>VLOOKUP(U18,'Lezingen 2025'!$A$1:$F$61,5)</f>
        <v>Toekomst Techniek toepassing GBM</v>
      </c>
      <c r="X19" s="93"/>
      <c r="Y19" s="117"/>
      <c r="Z19" s="80" t="str">
        <f>VLOOKUP(Y18,'Lezingen 2025'!$A$1:$F$61,4)</f>
        <v>algemeen</v>
      </c>
      <c r="AA19" s="80" t="str">
        <f>VLOOKUP(Y18,'Lezingen 2025'!$A$1:$F$61,5)</f>
        <v>Concepten ontwikkeling en uitrol</v>
      </c>
    </row>
    <row r="20" spans="1:28" s="3" customFormat="1" ht="17" x14ac:dyDescent="0.35">
      <c r="A20" s="81" t="s">
        <v>211</v>
      </c>
      <c r="B20" s="81" t="s">
        <v>212</v>
      </c>
      <c r="C20" s="82" t="s">
        <v>36</v>
      </c>
      <c r="D20" s="83"/>
      <c r="E20" s="84"/>
      <c r="F20" s="92"/>
      <c r="G20" s="92"/>
      <c r="H20" s="93"/>
      <c r="I20" s="94"/>
      <c r="J20" s="87"/>
      <c r="K20" s="95"/>
      <c r="L20" s="93"/>
      <c r="M20" s="94"/>
      <c r="N20" s="87"/>
      <c r="O20" s="95"/>
      <c r="P20" s="93"/>
      <c r="Q20" s="94"/>
      <c r="R20" s="87"/>
      <c r="S20" s="92"/>
      <c r="T20" s="93"/>
      <c r="U20" s="94"/>
      <c r="V20" s="92"/>
      <c r="W20" s="92"/>
      <c r="X20" s="93"/>
      <c r="Y20" s="94"/>
      <c r="Z20" s="92"/>
      <c r="AA20" s="92"/>
    </row>
    <row r="21" spans="1:28" s="3" customFormat="1" ht="39" customHeight="1" x14ac:dyDescent="0.35">
      <c r="A21" s="123" t="s">
        <v>214</v>
      </c>
      <c r="B21" s="123" t="s">
        <v>213</v>
      </c>
      <c r="C21" s="124" t="s">
        <v>11</v>
      </c>
      <c r="D21" s="77"/>
      <c r="E21" s="125">
        <v>45</v>
      </c>
      <c r="F21" s="80" t="str">
        <f>VLOOKUP(E21,'Lezingen 2025'!$A$1:$F$61,2)</f>
        <v>WUR</v>
      </c>
      <c r="G21" s="80" t="str">
        <f>VLOOKUP(E21,'Lezingen 2025'!$A$1:$F$61,3)</f>
        <v>Geert Kessel</v>
      </c>
      <c r="H21" s="93"/>
      <c r="I21" s="117">
        <v>3</v>
      </c>
      <c r="J21" s="80" t="str">
        <f>VLOOKUP(I21,'Lezingen 2025'!$A$1:$F$61,2)</f>
        <v>BASF</v>
      </c>
      <c r="K21" s="80" t="str">
        <f>VLOOKUP(I21,'Lezingen 2025'!$A$1:$F$61,3)</f>
        <v>Bert Westhoff</v>
      </c>
      <c r="L21" s="93"/>
      <c r="M21" s="117">
        <v>1</v>
      </c>
      <c r="N21" s="80" t="str">
        <f>VLOOKUP(M21,'Lezingen 2025'!$A$1:$F$61,2)</f>
        <v>ADAMA</v>
      </c>
      <c r="O21" s="80" t="str">
        <f>VLOOKUP(M21,'Lezingen 2025'!$A$1:$F$61,3)</f>
        <v>Kevin de Lange</v>
      </c>
      <c r="P21" s="93"/>
      <c r="Q21" s="117">
        <v>49</v>
      </c>
      <c r="R21" s="80" t="str">
        <f>VLOOKUP(Q21,'Lezingen 2025'!$A$1:$F$61,2)</f>
        <v>Agrifirm</v>
      </c>
      <c r="S21" s="80" t="str">
        <f>VLOOKUP(Q21,'Lezingen 2025'!$A$1:$F$61,3)</f>
        <v>Mark Kersten</v>
      </c>
      <c r="T21" s="93"/>
      <c r="U21" s="117">
        <v>50</v>
      </c>
      <c r="V21" s="80" t="str">
        <f>VLOOKUP(U21,'Lezingen 2025'!$A$1:$F$61,2)</f>
        <v>Agrifirm</v>
      </c>
      <c r="W21" s="80" t="str">
        <f>VLOOKUP(U21,'Lezingen 2025'!$A$1:$F$61,3)</f>
        <v>Evert Hofman &amp; Abemec</v>
      </c>
      <c r="X21" s="93"/>
      <c r="Y21" s="117">
        <v>41</v>
      </c>
      <c r="Z21" s="80" t="str">
        <f>VLOOKUP(Y21,'Lezingen 2025'!$A$1:$F$61,2)</f>
        <v>Syngenta</v>
      </c>
      <c r="AA21" s="80" t="str">
        <f>VLOOKUP(Y21,'Lezingen 2025'!$A$1:$F$61,3)</f>
        <v>Steven Dorrestijn</v>
      </c>
    </row>
    <row r="22" spans="1:28" s="3" customFormat="1" ht="43.25" customHeight="1" x14ac:dyDescent="0.35">
      <c r="A22" s="123"/>
      <c r="B22" s="123"/>
      <c r="C22" s="124"/>
      <c r="D22" s="77"/>
      <c r="E22" s="125"/>
      <c r="F22" s="80" t="str">
        <f>VLOOKUP(E21,'Lezingen 2025'!$A$1:$F$61,4)</f>
        <v>aardappel</v>
      </c>
      <c r="G22" s="80" t="str">
        <f>VLOOKUP(E21,'Lezingen 2025'!$A$1:$F$61,5)</f>
        <v>Update Phytophthora</v>
      </c>
      <c r="H22" s="93"/>
      <c r="I22" s="117"/>
      <c r="J22" s="80" t="str">
        <f>VLOOKUP(I21,'Lezingen 2025'!$A$1:$F$61,4)</f>
        <v>graan</v>
      </c>
      <c r="K22" s="80" t="str">
        <f>VLOOKUP(I21,'Lezingen 2025'!$A$1:$F$61,5)</f>
        <v>Luximo; nieuwe dimensie voor sterke grassenbestrijding</v>
      </c>
      <c r="L22" s="93"/>
      <c r="M22" s="117"/>
      <c r="N22" s="80" t="str">
        <f>VLOOKUP(M21,'Lezingen 2025'!$A$1:$F$61,4)</f>
        <v>graan</v>
      </c>
      <c r="O22" s="80" t="str">
        <f>VLOOKUP(M21,'Lezingen 2025'!$A$1:$F$61,5)</f>
        <v>Actualiteiten en vernieuwingen graanportfolio ADAMA</v>
      </c>
      <c r="P22" s="93"/>
      <c r="Q22" s="117"/>
      <c r="R22" s="80" t="str">
        <f>VLOOKUP(Q21,'Lezingen 2025'!$A$1:$F$61,4)</f>
        <v>algemeen</v>
      </c>
      <c r="S22" s="80" t="str">
        <f>VLOOKUP(Q21,'Lezingen 2025'!$A$1:$F$61,5)</f>
        <v>Goed zaken doen</v>
      </c>
      <c r="T22" s="93"/>
      <c r="U22" s="117"/>
      <c r="V22" s="80" t="str">
        <f>VLOOKUP(U21,'Lezingen 2025'!$A$1:$F$61,4)</f>
        <v>algemeen</v>
      </c>
      <c r="W22" s="80" t="str">
        <f>VLOOKUP(U21,'Lezingen 2025'!$A$1:$F$61,5)</f>
        <v>Toekomst Techniek toepassing GBM</v>
      </c>
      <c r="X22" s="93"/>
      <c r="Y22" s="117"/>
      <c r="Z22" s="80" t="str">
        <f>VLOOKUP(Y21,'Lezingen 2025'!$A$1:$F$61,4)</f>
        <v>uien</v>
      </c>
      <c r="AA22" s="80" t="str">
        <f>VLOOKUP(Y21,'Lezingen 2025'!$A$1:$F$61,5)</f>
        <v>Waarom vallen de opbrengsten in uien tegen?</v>
      </c>
    </row>
    <row r="23" spans="1:28" s="3" customFormat="1" ht="17" x14ac:dyDescent="0.35">
      <c r="A23" s="81" t="s">
        <v>215</v>
      </c>
      <c r="B23" s="81" t="s">
        <v>216</v>
      </c>
      <c r="C23" s="82" t="s">
        <v>36</v>
      </c>
      <c r="D23" s="83"/>
      <c r="E23" s="84"/>
      <c r="F23" s="92"/>
      <c r="G23" s="92"/>
      <c r="H23" s="93"/>
      <c r="I23" s="94"/>
      <c r="J23" s="92"/>
      <c r="K23" s="92"/>
      <c r="L23" s="93"/>
      <c r="M23" s="94"/>
      <c r="N23" s="92"/>
      <c r="O23" s="92"/>
      <c r="P23" s="93"/>
      <c r="Q23" s="94"/>
      <c r="R23" s="87"/>
      <c r="S23" s="92"/>
      <c r="T23" s="93"/>
      <c r="U23" s="94"/>
      <c r="V23" s="92"/>
      <c r="W23" s="92"/>
      <c r="X23" s="93"/>
      <c r="Y23" s="94"/>
      <c r="Z23" s="92"/>
      <c r="AA23" s="92"/>
    </row>
    <row r="24" spans="1:28" s="3" customFormat="1" ht="39" customHeight="1" x14ac:dyDescent="0.35">
      <c r="A24" s="123" t="s">
        <v>217</v>
      </c>
      <c r="B24" s="123" t="s">
        <v>218</v>
      </c>
      <c r="C24" s="124" t="s">
        <v>12</v>
      </c>
      <c r="D24" s="77"/>
      <c r="E24" s="125">
        <v>45</v>
      </c>
      <c r="F24" s="80" t="str">
        <f>VLOOKUP(E24,'Lezingen 2025'!$A$1:$F$61,2)</f>
        <v>WUR</v>
      </c>
      <c r="G24" s="80" t="str">
        <f>VLOOKUP(E24,'Lezingen 2025'!$A$1:$F$61,3)</f>
        <v>Geert Kessel</v>
      </c>
      <c r="H24" s="93"/>
      <c r="I24" s="117">
        <v>37</v>
      </c>
      <c r="J24" s="80" t="str">
        <f>VLOOKUP(I24,'Lezingen 2025'!$A$1:$F$61,2)</f>
        <v>Pireco</v>
      </c>
      <c r="K24" s="80" t="str">
        <f>VLOOKUP(I24,'Lezingen 2025'!$A$1:$F$61,3)</f>
        <v>Job Simmes</v>
      </c>
      <c r="L24" s="93"/>
      <c r="M24" s="117">
        <v>44</v>
      </c>
      <c r="N24" s="80" t="str">
        <f>VLOOKUP(M24,'Lezingen 2025'!$A$1:$F$61,2)</f>
        <v>UPL</v>
      </c>
      <c r="O24" s="80" t="str">
        <f>VLOOKUP(M24,'Lezingen 2025'!$A$1:$F$61,3)</f>
        <v>Marcel van Doorne</v>
      </c>
      <c r="P24" s="93"/>
      <c r="Q24" s="117">
        <v>49</v>
      </c>
      <c r="R24" s="80" t="str">
        <f>VLOOKUP(Q24,'Lezingen 2025'!$A$1:$F$61,2)</f>
        <v>Agrifirm</v>
      </c>
      <c r="S24" s="80" t="str">
        <f>VLOOKUP(Q24,'Lezingen 2025'!$A$1:$F$61,3)</f>
        <v>Mark Kersten</v>
      </c>
      <c r="T24" s="93"/>
      <c r="U24" s="117">
        <v>50</v>
      </c>
      <c r="V24" s="80" t="str">
        <f>VLOOKUP(U24,'Lezingen 2025'!$A$1:$F$61,2)</f>
        <v>Agrifirm</v>
      </c>
      <c r="W24" s="80" t="str">
        <f>VLOOKUP(U24,'Lezingen 2025'!$A$1:$F$61,3)</f>
        <v>Evert Hofman &amp; Abemec</v>
      </c>
      <c r="X24" s="93"/>
      <c r="Y24" s="117">
        <v>32</v>
      </c>
      <c r="Z24" s="80" t="str">
        <f>VLOOKUP(Y24,'Lezingen 2025'!$A$1:$F$61,2)</f>
        <v>LALLEMAND</v>
      </c>
      <c r="AA24" s="80" t="str">
        <f>VLOOKUP(Y24,'Lezingen 2025'!$A$1:$F$61,3)</f>
        <v>Lucie Martin &amp; Alexandra Aldeia</v>
      </c>
    </row>
    <row r="25" spans="1:28" s="3" customFormat="1" ht="43.25" customHeight="1" x14ac:dyDescent="0.35">
      <c r="A25" s="123"/>
      <c r="B25" s="123"/>
      <c r="C25" s="124"/>
      <c r="D25" s="77"/>
      <c r="E25" s="125"/>
      <c r="F25" s="80" t="str">
        <f>VLOOKUP(E24,'Lezingen 2025'!$A$1:$F$61,4)</f>
        <v>aardappel</v>
      </c>
      <c r="G25" s="80" t="str">
        <f>VLOOKUP(E24,'Lezingen 2025'!$A$1:$F$61,5)</f>
        <v>Update Phytophthora</v>
      </c>
      <c r="H25" s="93"/>
      <c r="I25" s="117"/>
      <c r="J25" s="80" t="str">
        <f>VLOOKUP(I24,'Lezingen 2025'!$A$1:$F$61,4)</f>
        <v>aardappel</v>
      </c>
      <c r="K25" s="80" t="str">
        <f>VLOOKUP(I24,'Lezingen 2025'!$A$1:$F$61,5)</f>
        <v>Betere kwaliteit knollen,  gezonder loof  -  hogere opbrengst</v>
      </c>
      <c r="L25" s="93"/>
      <c r="M25" s="117"/>
      <c r="N25" s="80" t="str">
        <f>VLOOKUP(M24,'Lezingen 2025'!$A$1:$F$61,4)</f>
        <v>aardappel</v>
      </c>
      <c r="O25" s="80" t="str">
        <f>VLOOKUP(M24,'Lezingen 2025'!$A$1:$F$61,5)</f>
        <v xml:space="preserve">Bewaring na ROYAL MH en 5 jaar ervaring met ARGOS </v>
      </c>
      <c r="P25" s="93"/>
      <c r="Q25" s="117"/>
      <c r="R25" s="80" t="str">
        <f>VLOOKUP(Q24,'Lezingen 2025'!$A$1:$F$61,4)</f>
        <v>algemeen</v>
      </c>
      <c r="S25" s="80" t="str">
        <f>VLOOKUP(Q24,'Lezingen 2025'!$A$1:$F$61,5)</f>
        <v>Goed zaken doen</v>
      </c>
      <c r="T25" s="93"/>
      <c r="U25" s="117"/>
      <c r="V25" s="80" t="str">
        <f>VLOOKUP(U24,'Lezingen 2025'!$A$1:$F$61,4)</f>
        <v>algemeen</v>
      </c>
      <c r="W25" s="80" t="str">
        <f>VLOOKUP(U24,'Lezingen 2025'!$A$1:$F$61,5)</f>
        <v>Toekomst Techniek toepassing GBM</v>
      </c>
      <c r="X25" s="93"/>
      <c r="Y25" s="117"/>
      <c r="Z25" s="80" t="str">
        <f>VLOOKUP(Y24,'Lezingen 2025'!$A$1:$F$61,4)</f>
        <v>uien</v>
      </c>
      <c r="AA25" s="80" t="str">
        <f>VLOOKUP(Y24,'Lezingen 2025'!$A$1:$F$61,5)</f>
        <v xml:space="preserve">LALGUARD M52 OD:       a sustainable &amp; efficient alternative </v>
      </c>
    </row>
    <row r="26" spans="1:28" s="3" customFormat="1" ht="17" x14ac:dyDescent="0.35">
      <c r="A26" s="81" t="s">
        <v>219</v>
      </c>
      <c r="B26" s="81" t="s">
        <v>220</v>
      </c>
      <c r="C26" s="82" t="s">
        <v>36</v>
      </c>
      <c r="D26" s="83"/>
      <c r="E26" s="84"/>
      <c r="F26" s="92"/>
      <c r="G26" s="92"/>
      <c r="H26" s="93"/>
      <c r="I26" s="94"/>
      <c r="J26" s="87"/>
      <c r="K26" s="95"/>
      <c r="L26" s="93"/>
      <c r="M26" s="94"/>
      <c r="N26" s="87"/>
      <c r="O26" s="95"/>
      <c r="P26" s="93"/>
      <c r="Q26" s="94"/>
      <c r="R26" s="87"/>
      <c r="S26" s="92"/>
      <c r="T26" s="93"/>
      <c r="U26" s="94"/>
      <c r="V26" s="92"/>
      <c r="W26" s="92"/>
      <c r="X26" s="93"/>
      <c r="Y26" s="94"/>
      <c r="Z26" s="92"/>
      <c r="AA26" s="92"/>
    </row>
    <row r="27" spans="1:28" s="3" customFormat="1" ht="33" customHeight="1" x14ac:dyDescent="0.35">
      <c r="A27" s="123" t="s">
        <v>221</v>
      </c>
      <c r="B27" s="123" t="s">
        <v>222</v>
      </c>
      <c r="C27" s="124" t="s">
        <v>34</v>
      </c>
      <c r="D27" s="77"/>
      <c r="E27" s="125">
        <v>45</v>
      </c>
      <c r="F27" s="80" t="str">
        <f>VLOOKUP(E27,'Lezingen 2025'!$A$1:$F$61,2)</f>
        <v>WUR</v>
      </c>
      <c r="G27" s="80" t="str">
        <f>VLOOKUP(E27,'Lezingen 2025'!$A$1:$F$61,3)</f>
        <v>Geert Kessel</v>
      </c>
      <c r="H27" s="93"/>
      <c r="I27" s="117">
        <v>43</v>
      </c>
      <c r="J27" s="80" t="str">
        <f>VLOOKUP(I27,'Lezingen 2025'!$A$1:$F$61,2)</f>
        <v>Syngenta</v>
      </c>
      <c r="K27" s="80" t="str">
        <f>VLOOKUP(I27,'Lezingen 2025'!$A$1:$F$61,3)</f>
        <v xml:space="preserve">Marnix Gijlers  </v>
      </c>
      <c r="L27" s="93"/>
      <c r="M27" s="117">
        <v>51</v>
      </c>
      <c r="N27" s="80" t="str">
        <f>VLOOKUP(M27,'Lezingen 2025'!$A$1:$F$61,2)</f>
        <v>Agrifirm &amp; UPL</v>
      </c>
      <c r="O27" s="80" t="str">
        <f>VLOOKUP(M27,'Lezingen 2025'!$A$1:$F$61,3)</f>
        <v>Joris Roskam &amp;     Marcel van Doorne</v>
      </c>
      <c r="P27" s="93"/>
      <c r="Q27" s="117">
        <v>49</v>
      </c>
      <c r="R27" s="80" t="str">
        <f>VLOOKUP(Q27,'Lezingen 2025'!$A$1:$F$61,2)</f>
        <v>Agrifirm</v>
      </c>
      <c r="S27" s="80" t="str">
        <f>VLOOKUP(Q27,'Lezingen 2025'!$A$1:$F$61,3)</f>
        <v>Mark Kersten</v>
      </c>
      <c r="T27" s="93"/>
      <c r="U27" s="117">
        <v>6</v>
      </c>
      <c r="V27" s="80" t="str">
        <f>VLOOKUP(U27,'Lezingen 2025'!$A$1:$F$61,2)</f>
        <v>BASF</v>
      </c>
      <c r="W27" s="80" t="str">
        <f>VLOOKUP(U27,'Lezingen 2025'!$A$1:$F$61,3)</f>
        <v>Guus Bergmans</v>
      </c>
      <c r="X27" s="93"/>
      <c r="Y27" s="117">
        <v>33</v>
      </c>
      <c r="Z27" s="80" t="str">
        <f>VLOOKUP(Y27,'Lezingen 2025'!$A$1:$F$61,2)</f>
        <v>LALLEMAND</v>
      </c>
      <c r="AA27" s="80" t="str">
        <f>VLOOKUP(Y27,'Lezingen 2025'!$A$1:$F$61,3)</f>
        <v>Lucie Martin &amp; Alexandra Aldeia</v>
      </c>
    </row>
    <row r="28" spans="1:28" s="3" customFormat="1" ht="43.25" customHeight="1" x14ac:dyDescent="0.35">
      <c r="A28" s="123"/>
      <c r="B28" s="123"/>
      <c r="C28" s="124"/>
      <c r="D28" s="77"/>
      <c r="E28" s="125"/>
      <c r="F28" s="80" t="str">
        <f>VLOOKUP(E27,'Lezingen 2025'!$A$1:$F$61,4)</f>
        <v>aardappel</v>
      </c>
      <c r="G28" s="80" t="str">
        <f>VLOOKUP(E27,'Lezingen 2025'!$A$1:$F$61,5)</f>
        <v>Update Phytophthora</v>
      </c>
      <c r="H28" s="93"/>
      <c r="I28" s="117"/>
      <c r="J28" s="80" t="str">
        <f>VLOOKUP(I27,'Lezingen 2025'!$A$1:$F$61,4)</f>
        <v>aardappelen</v>
      </c>
      <c r="K28" s="80" t="str">
        <f>VLOOKUP(I27,'Lezingen 2025'!$A$1:$F$61,5)</f>
        <v>Geen horde te hoog voor Phytophthora; Fight Blight Right</v>
      </c>
      <c r="L28" s="93"/>
      <c r="M28" s="117"/>
      <c r="N28" s="80" t="str">
        <f>VLOOKUP(M27,'Lezingen 2025'!$A$1:$F$61,4)</f>
        <v>bieten</v>
      </c>
      <c r="O28" s="80" t="str">
        <f>VLOOKUP(M27,'Lezingen 2025'!$A$1:$F$61,5)</f>
        <v>GEWASKRACHT REEF technische introductie</v>
      </c>
      <c r="P28" s="93"/>
      <c r="Q28" s="117"/>
      <c r="R28" s="80" t="str">
        <f>VLOOKUP(Q27,'Lezingen 2025'!$A$1:$F$61,4)</f>
        <v>algemeen</v>
      </c>
      <c r="S28" s="80" t="str">
        <f>VLOOKUP(Q27,'Lezingen 2025'!$A$1:$F$61,5)</f>
        <v>Goed zaken doen</v>
      </c>
      <c r="T28" s="93"/>
      <c r="U28" s="117"/>
      <c r="V28" s="80" t="str">
        <f>VLOOKUP(U27,'Lezingen 2025'!$A$1:$F$61,4)</f>
        <v>aardappel</v>
      </c>
      <c r="W28" s="106" t="str">
        <f>VLOOKUP(U27,'Lezingen 2025'!$A$1:$F$61,5)</f>
        <v>Sterke start aardappel: nieuwe ervaringen Basagran, Allstar</v>
      </c>
      <c r="X28" s="93"/>
      <c r="Y28" s="117"/>
      <c r="Z28" s="80" t="str">
        <f>VLOOKUP(Y27,'Lezingen 2025'!$A$1:$F$61,4)</f>
        <v>algemeen</v>
      </c>
      <c r="AA28" s="80" t="str">
        <f>VLOOKUP(Y27,'Lezingen 2025'!$A$1:$F$61,5)</f>
        <v>New tool for ICM: LALSTOP G46 WG for soil-borne diseases</v>
      </c>
    </row>
    <row r="29" spans="1:28" s="3" customFormat="1" ht="17.149999999999999" customHeight="1" x14ac:dyDescent="0.35">
      <c r="A29" s="102" t="s">
        <v>223</v>
      </c>
      <c r="B29" s="81" t="s">
        <v>227</v>
      </c>
      <c r="C29" s="126" t="s">
        <v>13</v>
      </c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8"/>
      <c r="AB29" s="6"/>
    </row>
    <row r="30" spans="1:28" s="3" customFormat="1" ht="17.149999999999999" customHeight="1" x14ac:dyDescent="0.35">
      <c r="A30" s="102" t="s">
        <v>224</v>
      </c>
      <c r="B30" s="81" t="s">
        <v>228</v>
      </c>
      <c r="C30" s="126" t="s">
        <v>14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8"/>
      <c r="AB30" s="6"/>
    </row>
    <row r="31" spans="1:28" s="3" customFormat="1" ht="17.149999999999999" customHeight="1" x14ac:dyDescent="0.35">
      <c r="A31" s="102" t="s">
        <v>225</v>
      </c>
      <c r="B31" s="81" t="s">
        <v>229</v>
      </c>
      <c r="C31" s="126" t="s">
        <v>23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8"/>
      <c r="AB31" s="6"/>
    </row>
    <row r="32" spans="1:28" s="3" customFormat="1" ht="17.149999999999999" customHeight="1" x14ac:dyDescent="0.35">
      <c r="A32" s="102" t="s">
        <v>226</v>
      </c>
      <c r="B32" s="81" t="s">
        <v>230</v>
      </c>
      <c r="C32" s="126" t="s">
        <v>19</v>
      </c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8"/>
      <c r="AB32" s="6"/>
    </row>
    <row r="33" spans="7:28" ht="15" customHeight="1" x14ac:dyDescent="0.35">
      <c r="G33" s="5"/>
      <c r="I33" s="9"/>
      <c r="K33" s="5"/>
      <c r="M33" s="9"/>
      <c r="O33" s="5"/>
      <c r="Q33" s="9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7:28" ht="15" customHeight="1" x14ac:dyDescent="0.35"/>
    <row r="35" spans="7:28" ht="15" customHeight="1" x14ac:dyDescent="0.35"/>
    <row r="36" spans="7:28" ht="15" customHeight="1" x14ac:dyDescent="0.35"/>
    <row r="37" spans="7:28" ht="15" customHeight="1" x14ac:dyDescent="0.35"/>
    <row r="38" spans="7:28" ht="15" customHeight="1" x14ac:dyDescent="0.35"/>
    <row r="39" spans="7:28" ht="15" customHeight="1" x14ac:dyDescent="0.35"/>
  </sheetData>
  <mergeCells count="80">
    <mergeCell ref="C29:AA29"/>
    <mergeCell ref="C30:AA30"/>
    <mergeCell ref="C31:AA31"/>
    <mergeCell ref="C32:AA32"/>
    <mergeCell ref="E4:AA4"/>
    <mergeCell ref="E8:F8"/>
    <mergeCell ref="I8:J8"/>
    <mergeCell ref="M8:N8"/>
    <mergeCell ref="Q8:R8"/>
    <mergeCell ref="U8:V8"/>
    <mergeCell ref="Y8:Z8"/>
    <mergeCell ref="U12:U13"/>
    <mergeCell ref="C12:C13"/>
    <mergeCell ref="U9:U10"/>
    <mergeCell ref="I9:I10"/>
    <mergeCell ref="I12:I13"/>
    <mergeCell ref="A24:A25"/>
    <mergeCell ref="B24:B25"/>
    <mergeCell ref="C24:C25"/>
    <mergeCell ref="E21:E22"/>
    <mergeCell ref="A15:A16"/>
    <mergeCell ref="B15:B16"/>
    <mergeCell ref="C21:C22"/>
    <mergeCell ref="E24:E25"/>
    <mergeCell ref="A18:A19"/>
    <mergeCell ref="B18:B19"/>
    <mergeCell ref="A21:A22"/>
    <mergeCell ref="B21:B22"/>
    <mergeCell ref="E18:E19"/>
    <mergeCell ref="C15:C16"/>
    <mergeCell ref="E15:E16"/>
    <mergeCell ref="C18:C19"/>
    <mergeCell ref="A12:A13"/>
    <mergeCell ref="B12:B13"/>
    <mergeCell ref="E12:E13"/>
    <mergeCell ref="E9:E10"/>
    <mergeCell ref="E5:E6"/>
    <mergeCell ref="C5:C6"/>
    <mergeCell ref="A5:A6"/>
    <mergeCell ref="B5:B6"/>
    <mergeCell ref="A9:A10"/>
    <mergeCell ref="B9:B10"/>
    <mergeCell ref="C9:C10"/>
    <mergeCell ref="I15:I16"/>
    <mergeCell ref="I18:I19"/>
    <mergeCell ref="I21:I22"/>
    <mergeCell ref="U15:U16"/>
    <mergeCell ref="Q24:Q25"/>
    <mergeCell ref="Q21:Q22"/>
    <mergeCell ref="I24:I25"/>
    <mergeCell ref="U21:U22"/>
    <mergeCell ref="U24:U25"/>
    <mergeCell ref="M21:M22"/>
    <mergeCell ref="M24:M25"/>
    <mergeCell ref="A27:A28"/>
    <mergeCell ref="B27:B28"/>
    <mergeCell ref="C27:C28"/>
    <mergeCell ref="E27:E28"/>
    <mergeCell ref="I27:I28"/>
    <mergeCell ref="F5:AA6"/>
    <mergeCell ref="F7:AA7"/>
    <mergeCell ref="Q27:Q28"/>
    <mergeCell ref="U27:U28"/>
    <mergeCell ref="Y9:Y10"/>
    <mergeCell ref="Y12:Y13"/>
    <mergeCell ref="Y15:Y16"/>
    <mergeCell ref="Y18:Y19"/>
    <mergeCell ref="Y21:Y22"/>
    <mergeCell ref="Y24:Y25"/>
    <mergeCell ref="Y27:Y28"/>
    <mergeCell ref="U18:U19"/>
    <mergeCell ref="Q9:Q10"/>
    <mergeCell ref="Q12:Q13"/>
    <mergeCell ref="Q18:Q19"/>
    <mergeCell ref="Q15:Q16"/>
    <mergeCell ref="M27:M28"/>
    <mergeCell ref="M9:M10"/>
    <mergeCell ref="M12:M13"/>
    <mergeCell ref="M15:M16"/>
    <mergeCell ref="M18:M19"/>
  </mergeCells>
  <phoneticPr fontId="23" type="noConversion"/>
  <pageMargins left="0.19685039370078741" right="0.19685039370078741" top="0.19685039370078741" bottom="0.19685039370078741" header="0" footer="0"/>
  <pageSetup paperSize="9" scale="60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4"/>
  <sheetViews>
    <sheetView showGridLines="0" zoomScale="80" zoomScaleNormal="80" workbookViewId="0">
      <selection activeCell="G8" sqref="G8:G11"/>
    </sheetView>
  </sheetViews>
  <sheetFormatPr defaultRowHeight="14.5" x14ac:dyDescent="0.35"/>
  <cols>
    <col min="1" max="2" width="9.36328125" customWidth="1"/>
    <col min="3" max="3" width="16" customWidth="1"/>
    <col min="4" max="4" width="1.08984375" customWidth="1"/>
    <col min="5" max="5" width="3.6328125" style="9" customWidth="1"/>
    <col min="6" max="6" width="12.36328125" customWidth="1"/>
    <col min="7" max="7" width="30.6328125" style="5" customWidth="1"/>
    <col min="8" max="8" width="1.08984375" customWidth="1"/>
    <col min="9" max="9" width="3.6328125" style="9" customWidth="1"/>
    <col min="10" max="10" width="12.453125" customWidth="1"/>
    <col min="11" max="11" width="30.6328125" style="5" customWidth="1"/>
    <col min="12" max="12" width="1.08984375" customWidth="1"/>
    <col min="13" max="13" width="3.6328125" style="9" customWidth="1"/>
    <col min="14" max="14" width="12.36328125" customWidth="1"/>
    <col min="15" max="15" width="30.6328125" style="5" customWidth="1"/>
    <col min="16" max="16" width="1.08984375" customWidth="1"/>
    <col min="17" max="17" width="3.6328125" style="9" customWidth="1"/>
    <col min="18" max="18" width="13.453125" customWidth="1"/>
    <col min="19" max="19" width="30.6328125" style="5" customWidth="1"/>
    <col min="20" max="20" width="1.08984375" customWidth="1"/>
    <col min="21" max="21" width="3.6328125" style="9" customWidth="1"/>
    <col min="22" max="22" width="13.453125" customWidth="1"/>
    <col min="23" max="23" width="30.6328125" style="5" customWidth="1"/>
  </cols>
  <sheetData>
    <row r="1" spans="1:23" ht="16.5" customHeight="1" x14ac:dyDescent="0.35">
      <c r="A1" s="7" t="s">
        <v>369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1" customFormat="1" ht="11.4" customHeight="1" x14ac:dyDescent="0.4">
      <c r="C2" s="2"/>
      <c r="D2" s="2"/>
      <c r="E2" s="9"/>
      <c r="G2" s="69"/>
      <c r="H2" s="70"/>
      <c r="I2" s="68"/>
      <c r="J2" s="69"/>
      <c r="K2" s="69"/>
      <c r="L2" s="70"/>
      <c r="M2" s="68"/>
      <c r="N2" s="69"/>
      <c r="O2" s="69"/>
      <c r="P2" s="70"/>
      <c r="Q2" s="68"/>
      <c r="R2" s="69"/>
      <c r="S2" s="69"/>
      <c r="T2" s="70"/>
      <c r="U2" s="68"/>
      <c r="V2" s="69"/>
      <c r="W2" s="69"/>
    </row>
    <row r="3" spans="1:23" s="3" customFormat="1" ht="17.149999999999999" customHeight="1" x14ac:dyDescent="0.35">
      <c r="A3" s="81" t="s">
        <v>20</v>
      </c>
      <c r="B3" s="81" t="s">
        <v>21</v>
      </c>
      <c r="C3" s="135" t="s">
        <v>15</v>
      </c>
      <c r="D3" s="136"/>
      <c r="E3" s="136"/>
      <c r="F3" s="136"/>
      <c r="G3" s="136"/>
      <c r="H3" s="71"/>
      <c r="I3" s="72"/>
      <c r="J3" s="73"/>
      <c r="K3" s="73"/>
      <c r="L3" s="71"/>
      <c r="M3" s="72"/>
      <c r="N3" s="73"/>
      <c r="O3" s="73"/>
      <c r="P3" s="71"/>
      <c r="Q3" s="72"/>
      <c r="R3" s="73"/>
      <c r="S3" s="73"/>
      <c r="T3" s="71"/>
      <c r="U3" s="72"/>
      <c r="V3" s="73"/>
      <c r="W3" s="73"/>
    </row>
    <row r="4" spans="1:23" s="3" customFormat="1" ht="17.149999999999999" customHeight="1" x14ac:dyDescent="0.35">
      <c r="A4" s="78" t="s">
        <v>3</v>
      </c>
      <c r="B4" s="78" t="s">
        <v>232</v>
      </c>
      <c r="C4" s="135" t="s">
        <v>22</v>
      </c>
      <c r="D4" s="136"/>
      <c r="E4" s="136"/>
      <c r="F4" s="136"/>
      <c r="G4" s="136"/>
      <c r="H4" s="73"/>
      <c r="I4" s="72"/>
      <c r="J4" s="73"/>
      <c r="K4" s="73"/>
      <c r="L4" s="73"/>
      <c r="M4" s="72"/>
      <c r="N4" s="73"/>
      <c r="O4" s="73"/>
      <c r="P4" s="73"/>
      <c r="Q4" s="72"/>
      <c r="R4" s="73"/>
      <c r="S4" s="73"/>
      <c r="T4" s="73"/>
      <c r="U4" s="72"/>
      <c r="V4" s="73"/>
      <c r="W4" s="73"/>
    </row>
    <row r="5" spans="1:23" s="3" customFormat="1" ht="17.149999999999999" customHeight="1" x14ac:dyDescent="0.35">
      <c r="A5" s="78" t="s">
        <v>4</v>
      </c>
      <c r="B5" s="78" t="s">
        <v>33</v>
      </c>
      <c r="C5" s="135" t="s">
        <v>5</v>
      </c>
      <c r="D5" s="136"/>
      <c r="E5" s="136"/>
      <c r="F5" s="136"/>
      <c r="G5" s="136"/>
      <c r="H5" s="73"/>
      <c r="I5" s="72"/>
      <c r="J5" s="73"/>
      <c r="K5" s="73"/>
      <c r="L5" s="73"/>
      <c r="M5" s="72"/>
      <c r="N5" s="73"/>
      <c r="O5" s="73"/>
      <c r="P5" s="73"/>
      <c r="Q5" s="72"/>
      <c r="R5" s="73"/>
      <c r="S5" s="73"/>
      <c r="T5" s="73"/>
      <c r="U5" s="72"/>
      <c r="V5" s="73"/>
      <c r="W5" s="73"/>
    </row>
    <row r="6" spans="1:23" s="4" customFormat="1" ht="24.75" customHeight="1" x14ac:dyDescent="0.35">
      <c r="A6" s="98" t="s">
        <v>0</v>
      </c>
      <c r="B6" s="75"/>
      <c r="C6" s="97" t="s">
        <v>1</v>
      </c>
      <c r="D6" s="77"/>
      <c r="E6" s="137" t="s">
        <v>24</v>
      </c>
      <c r="F6" s="128"/>
      <c r="G6" s="99" t="s">
        <v>2</v>
      </c>
      <c r="H6" s="100"/>
      <c r="I6" s="133" t="s">
        <v>25</v>
      </c>
      <c r="J6" s="128"/>
      <c r="K6" s="99" t="s">
        <v>2</v>
      </c>
      <c r="L6" s="100"/>
      <c r="M6" s="133" t="s">
        <v>26</v>
      </c>
      <c r="N6" s="134"/>
      <c r="O6" s="99" t="s">
        <v>2</v>
      </c>
      <c r="P6" s="100"/>
      <c r="Q6" s="133" t="s">
        <v>27</v>
      </c>
      <c r="R6" s="128"/>
      <c r="S6" s="99" t="s">
        <v>2</v>
      </c>
      <c r="T6" s="100"/>
      <c r="U6" s="133" t="s">
        <v>35</v>
      </c>
      <c r="V6" s="134"/>
      <c r="W6" s="99" t="s">
        <v>2</v>
      </c>
    </row>
    <row r="7" spans="1:23" s="3" customFormat="1" ht="31.75" customHeight="1" x14ac:dyDescent="0.35">
      <c r="A7" s="123" t="s">
        <v>193</v>
      </c>
      <c r="B7" s="123" t="s">
        <v>194</v>
      </c>
      <c r="C7" s="124" t="s">
        <v>6</v>
      </c>
      <c r="D7" s="77"/>
      <c r="E7" s="125">
        <v>48</v>
      </c>
      <c r="F7" s="79" t="str">
        <f>VLOOKUP(E7,'Lezingen 2025'!$A$1:$F$61,2)</f>
        <v>Agrifirm</v>
      </c>
      <c r="G7" s="79" t="str">
        <f>VLOOKUP(E7,'Lezingen 2025'!$A$1:$F$61,3)</f>
        <v>Malda &amp; Brakemeier</v>
      </c>
      <c r="H7" s="77"/>
      <c r="I7" s="125">
        <v>17</v>
      </c>
      <c r="J7" s="79" t="str">
        <f>VLOOKUP(I7,'Lezingen 2025'!$A$1:$F$61,2)</f>
        <v>Corteva</v>
      </c>
      <c r="K7" s="79" t="str">
        <f>VLOOKUP(I7,'Lezingen 2025'!$A$1:$F$61,3)</f>
        <v>Allard /Joris / Rien</v>
      </c>
      <c r="L7" s="77"/>
      <c r="M7" s="125">
        <v>40</v>
      </c>
      <c r="N7" s="80" t="str">
        <f>VLOOKUP(M7,'Lezingen 2025'!$A$1:$F$61,2)</f>
        <v>Rovensa next</v>
      </c>
      <c r="O7" s="79" t="str">
        <f>VLOOKUP(M7,'Lezingen 2025'!$A$1:$F$61,3)</f>
        <v>Loïc / Erwin</v>
      </c>
      <c r="P7" s="77"/>
      <c r="Q7" s="125">
        <v>27</v>
      </c>
      <c r="R7" s="79" t="str">
        <f>VLOOKUP(Q7,'Lezingen 2025'!$A$1:$F$61,2)</f>
        <v>IRS</v>
      </c>
      <c r="S7" s="79" t="str">
        <f>VLOOKUP(Q7,'Lezingen 2025'!$A$1:$F$61,3)</f>
        <v>Elma Raaijmakers</v>
      </c>
      <c r="T7" s="77"/>
      <c r="U7" s="125">
        <v>53</v>
      </c>
      <c r="V7" s="79" t="str">
        <f>VLOOKUP(U7,'Lezingen 2025'!$A$1:$F$61,2)</f>
        <v>Restrain*</v>
      </c>
      <c r="W7" s="79" t="str">
        <f>VLOOKUP(U7,'Lezingen 2025'!$A$1:$F$61,3)</f>
        <v>i.o.</v>
      </c>
    </row>
    <row r="8" spans="1:23" s="3" customFormat="1" ht="60" customHeight="1" x14ac:dyDescent="0.35">
      <c r="A8" s="123"/>
      <c r="B8" s="123"/>
      <c r="C8" s="124"/>
      <c r="D8" s="77"/>
      <c r="E8" s="125"/>
      <c r="F8" s="79" t="str">
        <f>VLOOKUP(E7,'Lezingen 2025'!$A$1:$F$61,4)</f>
        <v>algemeen</v>
      </c>
      <c r="G8" s="80" t="str">
        <f>VLOOKUP(E7,'Lezingen 2025'!$A$1:$F$61,5)</f>
        <v>Biostimulanten noodzaak en nut</v>
      </c>
      <c r="H8" s="77"/>
      <c r="I8" s="125"/>
      <c r="J8" s="79" t="str">
        <f>VLOOKUP(I7,'Lezingen 2025'!$A$1:$F$61,4)</f>
        <v>wintertarwe</v>
      </c>
      <c r="K8" s="80" t="str">
        <f>VLOOKUP(I7,'Lezingen 2025'!$A$1:$F$61,5)</f>
        <v xml:space="preserve">Fencade + Renitar, een stap vooruit in de voorjaars onkruidbestrijding wintertarwe </v>
      </c>
      <c r="L8" s="77"/>
      <c r="M8" s="125"/>
      <c r="N8" s="79" t="str">
        <f>VLOOKUP(M7,'Lezingen 2025'!$A$1:$F$61,4)</f>
        <v>akkerbouw</v>
      </c>
      <c r="O8" s="80" t="str">
        <f>VLOOKUP(M7,'Lezingen 2025'!$A$1:$F$61,5)</f>
        <v>Transformer bij v.o. herbiciden + meerwaarde- Humifirst. Introductie Biimore biostimulant</v>
      </c>
      <c r="P8" s="77"/>
      <c r="Q8" s="125"/>
      <c r="R8" s="79" t="str">
        <f>VLOOKUP(Q7,'Lezingen 2025'!$A$1:$F$61,4)</f>
        <v>algemeen</v>
      </c>
      <c r="S8" s="80" t="str">
        <f>VLOOKUP(Q7,'Lezingen 2025'!$A$1:$F$61,5)</f>
        <v>SBR en RTD/Stolbur oplossen via bouwplanbrede aanpak</v>
      </c>
      <c r="T8" s="77"/>
      <c r="U8" s="125"/>
      <c r="V8" s="79" t="str">
        <f>VLOOKUP(U7,'Lezingen 2025'!$A$1:$F$61,4)</f>
        <v>algemeen</v>
      </c>
      <c r="W8" s="80" t="str">
        <f>VLOOKUP(U7,'Lezingen 2025'!$A$1:$F$61,5)</f>
        <v xml:space="preserve">Introductie Restrain </v>
      </c>
    </row>
    <row r="9" spans="1:23" s="3" customFormat="1" ht="25.25" customHeight="1" x14ac:dyDescent="0.35">
      <c r="A9" s="81" t="s">
        <v>195</v>
      </c>
      <c r="B9" s="81" t="s">
        <v>196</v>
      </c>
      <c r="C9" s="82" t="s">
        <v>36</v>
      </c>
      <c r="D9" s="83"/>
      <c r="E9" s="84"/>
      <c r="F9" s="85"/>
      <c r="G9" s="63"/>
      <c r="H9" s="83"/>
      <c r="I9" s="84"/>
      <c r="J9" s="85"/>
      <c r="K9" s="63"/>
      <c r="L9" s="83"/>
      <c r="M9" s="84"/>
      <c r="N9" s="85"/>
      <c r="O9" s="63"/>
      <c r="P9" s="83"/>
      <c r="Q9" s="84"/>
      <c r="R9" s="85"/>
      <c r="S9" s="63"/>
      <c r="T9" s="83"/>
      <c r="U9" s="84"/>
      <c r="V9" s="85"/>
      <c r="W9" s="63"/>
    </row>
    <row r="10" spans="1:23" s="3" customFormat="1" ht="25" customHeight="1" x14ac:dyDescent="0.35">
      <c r="A10" s="123" t="s">
        <v>198</v>
      </c>
      <c r="B10" s="123" t="s">
        <v>197</v>
      </c>
      <c r="C10" s="124" t="s">
        <v>7</v>
      </c>
      <c r="D10" s="77"/>
      <c r="E10" s="125">
        <v>48</v>
      </c>
      <c r="F10" s="79" t="str">
        <f>VLOOKUP(E10,'Lezingen 2025'!$A$1:$F$61,2)</f>
        <v>Agrifirm</v>
      </c>
      <c r="G10" s="79" t="str">
        <f>VLOOKUP(E10,'Lezingen 2025'!$A$1:$F$61,3)</f>
        <v>Malda &amp; Brakemeier</v>
      </c>
      <c r="H10" s="77"/>
      <c r="I10" s="125">
        <v>18</v>
      </c>
      <c r="J10" s="79" t="str">
        <f>VLOOKUP(I10,'Lezingen 2025'!$A$1:$F$61,2)</f>
        <v>Corteva</v>
      </c>
      <c r="K10" s="79" t="str">
        <f>VLOOKUP(I10,'Lezingen 2025'!$A$1:$F$61,3)</f>
        <v>Allard /Joris / Rien</v>
      </c>
      <c r="L10" s="77"/>
      <c r="M10" s="125">
        <v>14</v>
      </c>
      <c r="N10" s="79" t="str">
        <f>VLOOKUP(M10,'Lezingen 2025'!$A$1:$F$61,2)</f>
        <v>Bayer</v>
      </c>
      <c r="O10" s="79" t="str">
        <f>VLOOKUP(M10,'Lezingen 2025'!$A$1:$F$61,3)</f>
        <v>Christy van Beek</v>
      </c>
      <c r="P10" s="77"/>
      <c r="Q10" s="125">
        <v>27</v>
      </c>
      <c r="R10" s="79" t="str">
        <f>VLOOKUP(Q10,'Lezingen 2025'!$A$1:$F$61,2)</f>
        <v>IRS</v>
      </c>
      <c r="S10" s="79" t="str">
        <f>VLOOKUP(Q10,'Lezingen 2025'!$A$1:$F$61,3)</f>
        <v>Elma Raaijmakers</v>
      </c>
      <c r="T10" s="77"/>
      <c r="U10" s="125">
        <v>53</v>
      </c>
      <c r="V10" s="79" t="str">
        <f>VLOOKUP(U10,'Lezingen 2025'!$A$1:$F$61,2)</f>
        <v>Restrain*</v>
      </c>
      <c r="W10" s="79" t="str">
        <f>VLOOKUP(U10,'Lezingen 2025'!$A$1:$F$61,3)</f>
        <v>i.o.</v>
      </c>
    </row>
    <row r="11" spans="1:23" s="3" customFormat="1" ht="60" customHeight="1" x14ac:dyDescent="0.35">
      <c r="A11" s="123"/>
      <c r="B11" s="123"/>
      <c r="C11" s="124"/>
      <c r="D11" s="77"/>
      <c r="E11" s="125"/>
      <c r="F11" s="79" t="str">
        <f>VLOOKUP(E10,'Lezingen 2025'!$A$1:$F$61,4)</f>
        <v>algemeen</v>
      </c>
      <c r="G11" s="80" t="str">
        <f>VLOOKUP(E10,'Lezingen 2025'!$A$1:$F$61,5)</f>
        <v>Biostimulanten noodzaak en nut</v>
      </c>
      <c r="H11" s="77"/>
      <c r="I11" s="125"/>
      <c r="J11" s="79" t="str">
        <f>VLOOKUP(I10,'Lezingen 2025'!$A$1:$F$61,4)</f>
        <v>aardappel</v>
      </c>
      <c r="K11" s="80" t="str">
        <f>VLOOKUP(I10,'Lezingen 2025'!$A$1:$F$61,5)</f>
        <v>Titus mogelijkheden in het post-Sencor tijdperk + Resultaten demo-proeven 2025 phytophthora bestrijding.</v>
      </c>
      <c r="L11" s="77"/>
      <c r="M11" s="125"/>
      <c r="N11" s="79" t="str">
        <f>VLOOKUP(M10,'Lezingen 2025'!$A$1:$F$61,4)</f>
        <v>algemeen</v>
      </c>
      <c r="O11" s="80" t="s">
        <v>384</v>
      </c>
      <c r="P11" s="77"/>
      <c r="Q11" s="125"/>
      <c r="R11" s="79" t="str">
        <f>VLOOKUP(Q10,'Lezingen 2025'!$A$1:$F$61,4)</f>
        <v>algemeen</v>
      </c>
      <c r="S11" s="80" t="str">
        <f>VLOOKUP(Q10,'Lezingen 2025'!$A$1:$F$61,5)</f>
        <v>SBR en RTD/Stolbur oplossen via bouwplanbrede aanpak</v>
      </c>
      <c r="T11" s="77"/>
      <c r="U11" s="125"/>
      <c r="V11" s="79" t="str">
        <f>VLOOKUP(U10,'Lezingen 2025'!$A$1:$F$61,4)</f>
        <v>algemeen</v>
      </c>
      <c r="W11" s="80" t="str">
        <f>VLOOKUP(U10,'Lezingen 2025'!$A$1:$F$61,5)</f>
        <v xml:space="preserve">Introductie Restrain </v>
      </c>
    </row>
    <row r="12" spans="1:23" s="3" customFormat="1" ht="25.25" customHeight="1" x14ac:dyDescent="0.35">
      <c r="A12" s="81" t="s">
        <v>199</v>
      </c>
      <c r="B12" s="81" t="s">
        <v>200</v>
      </c>
      <c r="C12" s="82" t="s">
        <v>37</v>
      </c>
      <c r="D12" s="83"/>
      <c r="E12" s="84"/>
      <c r="F12" s="86"/>
      <c r="G12" s="63"/>
      <c r="H12" s="83"/>
      <c r="I12" s="84"/>
      <c r="J12" s="86"/>
      <c r="K12" s="63"/>
      <c r="L12" s="83"/>
      <c r="M12" s="84"/>
      <c r="N12" s="86"/>
      <c r="O12" s="63"/>
      <c r="P12" s="83"/>
      <c r="Q12" s="84"/>
      <c r="R12" s="86"/>
      <c r="S12" s="63"/>
      <c r="T12" s="83"/>
      <c r="U12" s="84"/>
      <c r="V12" s="86"/>
      <c r="W12" s="63"/>
    </row>
    <row r="13" spans="1:23" s="3" customFormat="1" ht="25" customHeight="1" x14ac:dyDescent="0.35">
      <c r="A13" s="123" t="s">
        <v>202</v>
      </c>
      <c r="B13" s="123" t="s">
        <v>201</v>
      </c>
      <c r="C13" s="124" t="s">
        <v>8</v>
      </c>
      <c r="D13" s="77"/>
      <c r="E13" s="125">
        <v>48</v>
      </c>
      <c r="F13" s="79" t="str">
        <f>VLOOKUP(E13,'Lezingen 2025'!$A$1:$F$61,2)</f>
        <v>Agrifirm</v>
      </c>
      <c r="G13" s="79" t="str">
        <f>VLOOKUP(E13,'Lezingen 2025'!$A$1:$F$61,3)</f>
        <v>Malda &amp; Brakemeier</v>
      </c>
      <c r="H13" s="77"/>
      <c r="I13" s="125">
        <v>19</v>
      </c>
      <c r="J13" s="79" t="str">
        <f>VLOOKUP(I13,'Lezingen 2025'!$A$1:$F$61,2)</f>
        <v>Corteva</v>
      </c>
      <c r="K13" s="79" t="str">
        <f>VLOOKUP(I13,'Lezingen 2025'!$A$1:$F$61,3)</f>
        <v>Allard /Joris / Rien</v>
      </c>
      <c r="L13" s="77"/>
      <c r="M13" s="125">
        <v>35</v>
      </c>
      <c r="N13" s="79" t="str">
        <f>VLOOKUP(M13,'Lezingen 2025'!$A$1:$F$61,2)</f>
        <v>Nufarm</v>
      </c>
      <c r="O13" s="79" t="str">
        <f>VLOOKUP(M13,'Lezingen 2025'!$A$1:$F$61,3)</f>
        <v>Tjeerd Peeters</v>
      </c>
      <c r="P13" s="77"/>
      <c r="Q13" s="125">
        <v>27</v>
      </c>
      <c r="R13" s="79" t="str">
        <f>VLOOKUP(Q13,'Lezingen 2025'!$A$1:$F$61,2)</f>
        <v>IRS</v>
      </c>
      <c r="S13" s="79" t="str">
        <f>VLOOKUP(Q13,'Lezingen 2025'!$A$1:$F$61,3)</f>
        <v>Elma Raaijmakers</v>
      </c>
      <c r="T13" s="77"/>
      <c r="U13" s="125">
        <v>10</v>
      </c>
      <c r="V13" s="79" t="str">
        <f>VLOOKUP(U13,'Lezingen 2025'!$A$1:$F$61,2)</f>
        <v>Bayer</v>
      </c>
      <c r="W13" s="79" t="str">
        <f>VLOOKUP(U13,'Lezingen 2025'!$A$1:$F$61,3)</f>
        <v xml:space="preserve">Stefan / Simon / Sander </v>
      </c>
    </row>
    <row r="14" spans="1:23" s="3" customFormat="1" ht="60" customHeight="1" x14ac:dyDescent="0.35">
      <c r="A14" s="123"/>
      <c r="B14" s="123"/>
      <c r="C14" s="124"/>
      <c r="D14" s="77"/>
      <c r="E14" s="125"/>
      <c r="F14" s="79" t="str">
        <f>VLOOKUP(E13,'Lezingen 2025'!$A$1:$F$61,4)</f>
        <v>algemeen</v>
      </c>
      <c r="G14" s="80" t="str">
        <f>VLOOKUP(E13,'Lezingen 2025'!$A$1:$F$61,5)</f>
        <v>Biostimulanten noodzaak en nut</v>
      </c>
      <c r="H14" s="77"/>
      <c r="I14" s="125"/>
      <c r="J14" s="79" t="str">
        <f>VLOOKUP(I13,'Lezingen 2025'!$A$1:$F$61,4)</f>
        <v>bieten</v>
      </c>
      <c r="K14" s="80" t="str">
        <f>VLOOKUP(I13,'Lezingen 2025'!$A$1:$F$61,5)</f>
        <v>Wat zijn de mogelijkheden met Lontrel en Rinpode (verwacht voor seizoen 2027)</v>
      </c>
      <c r="L14" s="77"/>
      <c r="M14" s="125"/>
      <c r="N14" s="79" t="str">
        <f>VLOOKUP(M13,'Lezingen 2025'!$A$1:$F$61,4)</f>
        <v>uien, aardappel</v>
      </c>
      <c r="O14" s="80" t="str">
        <f>VLOOKUP(M13,'Lezingen 2025'!$A$1:$F$61,5)</f>
        <v>Trips- en luisbestrijding met NeemAzal-T/S in buitenteelten. Effectief en biologisch!</v>
      </c>
      <c r="P14" s="77"/>
      <c r="Q14" s="125"/>
      <c r="R14" s="79" t="str">
        <f>VLOOKUP(Q13,'Lezingen 2025'!$A$1:$F$61,4)</f>
        <v>algemeen</v>
      </c>
      <c r="S14" s="80" t="str">
        <f>VLOOKUP(Q13,'Lezingen 2025'!$A$1:$F$61,5)</f>
        <v>SBR en RTD/Stolbur oplossen via bouwplanbrede aanpak</v>
      </c>
      <c r="T14" s="77"/>
      <c r="U14" s="125"/>
      <c r="V14" s="79" t="str">
        <f>VLOOKUP(U13,'Lezingen 2025'!$A$1:$F$61,4)</f>
        <v>bieten</v>
      </c>
      <c r="W14" s="80" t="str">
        <f>VLOOKUP(U13,'Lezingen 2025'!$A$1:$F$61,5)</f>
        <v>Update Conviso + mogelijkheden in 2026 met Buteo Start en Sivanto op luis en cicaden?</v>
      </c>
    </row>
    <row r="15" spans="1:23" s="3" customFormat="1" ht="25.25" customHeight="1" x14ac:dyDescent="0.35">
      <c r="A15" s="81" t="s">
        <v>203</v>
      </c>
      <c r="B15" s="81" t="s">
        <v>204</v>
      </c>
      <c r="C15" s="82" t="s">
        <v>36</v>
      </c>
      <c r="D15" s="83"/>
      <c r="E15" s="84"/>
      <c r="F15" s="85"/>
      <c r="G15" s="85"/>
      <c r="H15" s="83"/>
      <c r="I15" s="84"/>
      <c r="J15" s="87"/>
      <c r="K15" s="85"/>
      <c r="L15" s="83"/>
      <c r="M15" s="84"/>
      <c r="N15" s="85"/>
      <c r="O15" s="85"/>
      <c r="P15" s="83"/>
      <c r="Q15" s="84"/>
      <c r="R15" s="85"/>
      <c r="S15" s="85"/>
      <c r="T15" s="83"/>
      <c r="U15" s="84"/>
      <c r="V15" s="85"/>
      <c r="W15" s="85"/>
    </row>
    <row r="16" spans="1:23" s="3" customFormat="1" ht="25" customHeight="1" x14ac:dyDescent="0.35">
      <c r="A16" s="123" t="s">
        <v>205</v>
      </c>
      <c r="B16" s="123" t="s">
        <v>206</v>
      </c>
      <c r="C16" s="124" t="s">
        <v>9</v>
      </c>
      <c r="D16" s="77"/>
      <c r="E16" s="125">
        <v>48</v>
      </c>
      <c r="F16" s="79" t="str">
        <f>VLOOKUP(E16,'Lezingen 2025'!$A$1:$F$61,2)</f>
        <v>Agrifirm</v>
      </c>
      <c r="G16" s="79" t="str">
        <f>VLOOKUP(E16,'Lezingen 2025'!$A$1:$F$61,3)</f>
        <v>Malda &amp; Brakemeier</v>
      </c>
      <c r="H16" s="77"/>
      <c r="I16" s="125">
        <v>20</v>
      </c>
      <c r="J16" s="79" t="str">
        <f>VLOOKUP(I16,'Lezingen 2025'!$A$1:$F$61,2)</f>
        <v>Corteva</v>
      </c>
      <c r="K16" s="79" t="str">
        <f>VLOOKUP(I16,'Lezingen 2025'!$A$1:$F$61,3)</f>
        <v>Ruud van de Sande</v>
      </c>
      <c r="L16" s="77"/>
      <c r="M16" s="125">
        <v>14</v>
      </c>
      <c r="N16" s="79" t="str">
        <f>VLOOKUP(M16,'Lezingen 2025'!$A$1:$F$61,2)</f>
        <v>Bayer</v>
      </c>
      <c r="O16" s="79" t="str">
        <f>VLOOKUP(M16,'Lezingen 2025'!$A$1:$F$61,3)</f>
        <v>Christy van Beek</v>
      </c>
      <c r="P16" s="77"/>
      <c r="Q16" s="125">
        <v>29</v>
      </c>
      <c r="R16" s="79" t="str">
        <f>VLOOKUP(Q16,'Lezingen 2025'!$A$1:$F$61,2)</f>
        <v xml:space="preserve">Koppert </v>
      </c>
      <c r="S16" s="79" t="str">
        <f>VLOOKUP(Q16,'Lezingen 2025'!$A$1:$F$61,3)</f>
        <v>Koppert</v>
      </c>
      <c r="T16" s="77"/>
      <c r="U16" s="125">
        <v>10</v>
      </c>
      <c r="V16" s="79" t="str">
        <f>VLOOKUP(U16,'Lezingen 2025'!$A$1:$F$61,2)</f>
        <v>Bayer</v>
      </c>
      <c r="W16" s="79" t="str">
        <f>VLOOKUP(U16,'Lezingen 2025'!$A$1:$F$61,3)</f>
        <v xml:space="preserve">Stefan / Simon / Sander </v>
      </c>
    </row>
    <row r="17" spans="1:23" s="3" customFormat="1" ht="60" customHeight="1" x14ac:dyDescent="0.35">
      <c r="A17" s="123"/>
      <c r="B17" s="123"/>
      <c r="C17" s="124"/>
      <c r="D17" s="77"/>
      <c r="E17" s="125"/>
      <c r="F17" s="79" t="str">
        <f>VLOOKUP(E16,'Lezingen 2025'!$A$1:$F$61,4)</f>
        <v>algemeen</v>
      </c>
      <c r="G17" s="80" t="str">
        <f>VLOOKUP(E16,'Lezingen 2025'!$A$1:$F$61,5)</f>
        <v>Biostimulanten noodzaak en nut</v>
      </c>
      <c r="H17" s="77"/>
      <c r="I17" s="125"/>
      <c r="J17" s="79" t="str">
        <f>VLOOKUP(I16,'Lezingen 2025'!$A$1:$F$61,4)</f>
        <v>uien</v>
      </c>
      <c r="K17" s="80" t="str">
        <f>VLOOKUP(I16,'Lezingen 2025'!$A$1:$F$61,5)</f>
        <v>De puntjes op de ui voor seizoen 2026.</v>
      </c>
      <c r="L17" s="77"/>
      <c r="M17" s="125"/>
      <c r="N17" s="79" t="str">
        <f>VLOOKUP(M16,'Lezingen 2025'!$A$1:$F$61,4)</f>
        <v>algemeen</v>
      </c>
      <c r="O17" s="80" t="str">
        <f>VLOOKUP(M16,'Lezingen 2025'!$A$1:$F$61,5)</f>
        <v xml:space="preserve">Staat het water ons nader aan de lippen? </v>
      </c>
      <c r="P17" s="77"/>
      <c r="Q17" s="125"/>
      <c r="R17" s="79" t="str">
        <f>VLOOKUP(Q16,'Lezingen 2025'!$A$1:$F$61,4)</f>
        <v>algemeen</v>
      </c>
      <c r="S17" s="80" t="str">
        <f>VLOOKUP(Q16,'Lezingen 2025'!$A$1:$F$61,5)</f>
        <v xml:space="preserve">Trianum: Biologisch fungicide tegen bodemziekten                                                                                  - Het alternatief voor een smaller fungiciden pakket - </v>
      </c>
      <c r="T17" s="77"/>
      <c r="U17" s="125"/>
      <c r="V17" s="79" t="str">
        <f>VLOOKUP(U16,'Lezingen 2025'!$A$1:$F$61,4)</f>
        <v>bieten</v>
      </c>
      <c r="W17" s="80" t="str">
        <f>VLOOKUP(U16,'Lezingen 2025'!$A$1:$F$61,5)</f>
        <v>Update Conviso + mogelijkheden in 2026 met Buteo Start en Sivanto op luis en cicaden?</v>
      </c>
    </row>
    <row r="18" spans="1:23" s="3" customFormat="1" ht="25.25" customHeight="1" x14ac:dyDescent="0.35">
      <c r="A18" s="81" t="s">
        <v>207</v>
      </c>
      <c r="B18" s="81" t="s">
        <v>208</v>
      </c>
      <c r="C18" s="82" t="s">
        <v>18</v>
      </c>
      <c r="D18" s="83"/>
      <c r="E18" s="84"/>
      <c r="F18" s="85"/>
      <c r="G18" s="85"/>
      <c r="H18" s="83"/>
      <c r="I18" s="84"/>
      <c r="J18" s="87"/>
      <c r="K18" s="85"/>
      <c r="L18" s="83"/>
      <c r="M18" s="84"/>
      <c r="N18" s="85"/>
      <c r="O18" s="85"/>
      <c r="P18" s="77"/>
      <c r="Q18" s="84"/>
      <c r="R18" s="85"/>
      <c r="S18" s="85"/>
      <c r="T18" s="77"/>
      <c r="U18" s="84"/>
      <c r="V18" s="85"/>
      <c r="W18" s="85"/>
    </row>
    <row r="19" spans="1:23" s="3" customFormat="1" ht="28.75" customHeight="1" x14ac:dyDescent="0.35">
      <c r="A19" s="123" t="s">
        <v>209</v>
      </c>
      <c r="B19" s="123" t="s">
        <v>210</v>
      </c>
      <c r="C19" s="124" t="s">
        <v>10</v>
      </c>
      <c r="D19" s="77"/>
      <c r="E19" s="125">
        <v>28</v>
      </c>
      <c r="F19" s="79" t="str">
        <f>VLOOKUP(E19,'Lezingen 2025'!$A$1:$F$61,2)</f>
        <v>IRS</v>
      </c>
      <c r="G19" s="79" t="str">
        <f>VLOOKUP(E19,'Lezingen 2025'!$A$1:$F$61,3)</f>
        <v>Sjef van der Heijden</v>
      </c>
      <c r="H19" s="77"/>
      <c r="I19" s="125">
        <v>20</v>
      </c>
      <c r="J19" s="79" t="str">
        <f>VLOOKUP(I19,'Lezingen 2025'!$A$1:$F$61,2)</f>
        <v>Corteva</v>
      </c>
      <c r="K19" s="79" t="str">
        <f>VLOOKUP(I19,'Lezingen 2025'!$A$1:$F$61,3)</f>
        <v>Ruud van de Sande</v>
      </c>
      <c r="L19" s="77"/>
      <c r="M19" s="125">
        <v>15</v>
      </c>
      <c r="N19" s="80" t="str">
        <f>VLOOKUP(M19,'Lezingen 2025'!$A$1:$F$61,2)</f>
        <v>Certis Belchim</v>
      </c>
      <c r="O19" s="79" t="str">
        <f>VLOOKUP(M19,'Lezingen 2025'!$A$1:$F$61,3)</f>
        <v>Fokke Smit &amp; Tom van Driessen</v>
      </c>
      <c r="P19" s="77"/>
      <c r="Q19" s="125">
        <v>30</v>
      </c>
      <c r="R19" s="79" t="str">
        <f>VLOOKUP(Q19,'Lezingen 2025'!$A$1:$F$61,2)</f>
        <v xml:space="preserve">Koppert </v>
      </c>
      <c r="S19" s="79" t="str">
        <f>VLOOKUP(Q19,'Lezingen 2025'!$A$1:$F$61,3)</f>
        <v>Koppert</v>
      </c>
      <c r="T19" s="77"/>
      <c r="U19" s="125">
        <v>12</v>
      </c>
      <c r="V19" s="79" t="str">
        <f>VLOOKUP(U19,'Lezingen 2025'!$A$1:$F$61,2)</f>
        <v>Bayer</v>
      </c>
      <c r="W19" s="79" t="str">
        <f>VLOOKUP(U19,'Lezingen 2025'!$A$1:$F$61,3)</f>
        <v>Simon/Sander</v>
      </c>
    </row>
    <row r="20" spans="1:23" s="3" customFormat="1" ht="60" customHeight="1" x14ac:dyDescent="0.35">
      <c r="A20" s="123"/>
      <c r="B20" s="123"/>
      <c r="C20" s="124"/>
      <c r="D20" s="77"/>
      <c r="E20" s="125"/>
      <c r="F20" s="79" t="str">
        <f>VLOOKUP(E19,'Lezingen 2025'!$A$1:$F$61,4)</f>
        <v>algemeen</v>
      </c>
      <c r="G20" s="80" t="str">
        <f>VLOOKUP(E19,'Lezingen 2025'!$A$1:$F$61,5)</f>
        <v>ICM aanpak resistente onkruiden op bouwplan niveau</v>
      </c>
      <c r="H20" s="77"/>
      <c r="I20" s="125"/>
      <c r="J20" s="79" t="str">
        <f>VLOOKUP(I19,'Lezingen 2025'!$A$1:$F$61,4)</f>
        <v>uien</v>
      </c>
      <c r="K20" s="80" t="str">
        <f>VLOOKUP(I19,'Lezingen 2025'!$A$1:$F$61,5)</f>
        <v>De puntjes op de ui voor seizoen 2026.</v>
      </c>
      <c r="L20" s="77"/>
      <c r="M20" s="125"/>
      <c r="N20" s="79" t="str">
        <f>VLOOKUP(M19,'Lezingen 2025'!$A$1:$F$61,4)</f>
        <v>aardappel</v>
      </c>
      <c r="O20" s="80" t="str">
        <f>VLOOKUP(M19,'Lezingen 2025'!$A$1:$F$61,5)</f>
        <v xml:space="preserve">Wandel met ons mee over het Pieperpad </v>
      </c>
      <c r="P20" s="77"/>
      <c r="Q20" s="125"/>
      <c r="R20" s="79" t="str">
        <f>VLOOKUP(Q19,'Lezingen 2025'!$A$1:$F$61,4)</f>
        <v>algemeen</v>
      </c>
      <c r="S20" s="80" t="str">
        <f>VLOOKUP(Q19,'Lezingen 2025'!$A$1:$F$61,5)</f>
        <v>Slimme nematoden: Effectieve oplossingen tegen insectenplagen</v>
      </c>
      <c r="T20" s="77"/>
      <c r="U20" s="125"/>
      <c r="V20" s="79" t="str">
        <f>VLOOKUP(U19,'Lezingen 2025'!$A$1:$F$61,4)</f>
        <v>aardappel</v>
      </c>
      <c r="W20" s="80" t="str">
        <f>VLOOKUP(U19,'Lezingen 2025'!$A$1:$F$61,5)</f>
        <v>It's all about potatoes, aardappels en nog eens aardappels</v>
      </c>
    </row>
    <row r="21" spans="1:23" s="3" customFormat="1" ht="25.25" customHeight="1" x14ac:dyDescent="0.35">
      <c r="A21" s="81" t="s">
        <v>211</v>
      </c>
      <c r="B21" s="81" t="s">
        <v>212</v>
      </c>
      <c r="C21" s="82" t="s">
        <v>36</v>
      </c>
      <c r="D21" s="83"/>
      <c r="E21" s="84"/>
      <c r="F21" s="85"/>
      <c r="G21" s="85"/>
      <c r="H21" s="83"/>
      <c r="I21" s="84"/>
      <c r="J21" s="87"/>
      <c r="K21" s="85"/>
      <c r="L21" s="77"/>
      <c r="M21" s="84"/>
      <c r="N21" s="85"/>
      <c r="O21" s="85"/>
      <c r="P21" s="77"/>
      <c r="Q21" s="84"/>
      <c r="R21" s="85"/>
      <c r="S21" s="85"/>
      <c r="T21" s="77"/>
      <c r="U21" s="84"/>
      <c r="V21" s="85"/>
      <c r="W21" s="85"/>
    </row>
    <row r="22" spans="1:23" s="3" customFormat="1" ht="28.75" customHeight="1" x14ac:dyDescent="0.35">
      <c r="A22" s="123" t="s">
        <v>214</v>
      </c>
      <c r="B22" s="123" t="s">
        <v>213</v>
      </c>
      <c r="C22" s="124" t="s">
        <v>11</v>
      </c>
      <c r="D22" s="77"/>
      <c r="E22" s="125">
        <v>22</v>
      </c>
      <c r="F22" s="79" t="str">
        <f>VLOOKUP(E22,'Lezingen 2025'!$A$1:$F$61,2)</f>
        <v>Corteva</v>
      </c>
      <c r="G22" s="79" t="str">
        <f>VLOOKUP(E22,'Lezingen 2025'!$A$1:$F$61,3)</f>
        <v>Ruud van de Sande</v>
      </c>
      <c r="H22" s="77"/>
      <c r="I22" s="125">
        <v>39</v>
      </c>
      <c r="J22" s="79" t="str">
        <f>VLOOKUP(I22,'Lezingen 2025'!$A$1:$F$61,2)</f>
        <v>PLV Belgie</v>
      </c>
      <c r="K22" s="79" t="str">
        <f>VLOOKUP(I22,'Lezingen 2025'!$A$1:$F$61,3)</f>
        <v>Shana Clercx</v>
      </c>
      <c r="L22" s="77"/>
      <c r="M22" s="125">
        <v>15</v>
      </c>
      <c r="N22" s="80" t="str">
        <f>VLOOKUP(M22,'Lezingen 2025'!$A$1:$F$61,2)</f>
        <v>Certis Belchim</v>
      </c>
      <c r="O22" s="79" t="str">
        <f>VLOOKUP(M22,'Lezingen 2025'!$A$1:$F$61,3)</f>
        <v>Fokke Smit &amp; Tom van Driessen</v>
      </c>
      <c r="P22" s="77"/>
      <c r="Q22" s="125">
        <v>30</v>
      </c>
      <c r="R22" s="79" t="str">
        <f>VLOOKUP(Q22,'Lezingen 2025'!$A$1:$F$61,2)</f>
        <v xml:space="preserve">Koppert </v>
      </c>
      <c r="S22" s="79" t="str">
        <f>VLOOKUP(Q22,'Lezingen 2025'!$A$1:$F$61,3)</f>
        <v>Koppert</v>
      </c>
      <c r="T22" s="77"/>
      <c r="U22" s="125">
        <v>12</v>
      </c>
      <c r="V22" s="79" t="str">
        <f>VLOOKUP(U22,'Lezingen 2025'!$A$1:$F$61,2)</f>
        <v>Bayer</v>
      </c>
      <c r="W22" s="79" t="str">
        <f>VLOOKUP(U22,'Lezingen 2025'!$A$1:$F$61,3)</f>
        <v>Simon/Sander</v>
      </c>
    </row>
    <row r="23" spans="1:23" s="3" customFormat="1" ht="60" customHeight="1" x14ac:dyDescent="0.35">
      <c r="A23" s="123"/>
      <c r="B23" s="123"/>
      <c r="C23" s="124"/>
      <c r="D23" s="77"/>
      <c r="E23" s="125"/>
      <c r="F23" s="79" t="str">
        <f>VLOOKUP(E22,'Lezingen 2025'!$A$1:$F$61,4)</f>
        <v>akkerbouw</v>
      </c>
      <c r="G23" s="80" t="str">
        <f>VLOOKUP(E22,'Lezingen 2025'!$A$1:$F$61,5)</f>
        <v>Hoe kunnen we planthormonen beinvloeden met biostimulanten</v>
      </c>
      <c r="H23" s="77"/>
      <c r="I23" s="125"/>
      <c r="J23" s="79" t="str">
        <f>VLOOKUP(I22,'Lezingen 2025'!$A$1:$F$61,4)</f>
        <v>algemeen</v>
      </c>
      <c r="K23" s="80" t="str">
        <f>VLOOKUP(I22,'Lezingen 2025'!$A$1:$F$61,5)</f>
        <v>Knolcyperus</v>
      </c>
      <c r="L23" s="77"/>
      <c r="M23" s="125"/>
      <c r="N23" s="79" t="str">
        <f>VLOOKUP(M22,'Lezingen 2025'!$A$1:$F$61,4)</f>
        <v>aardappel</v>
      </c>
      <c r="O23" s="88" t="str">
        <f>VLOOKUP(M22,'Lezingen 2025'!$A$1:$F$61,5)</f>
        <v xml:space="preserve">Wandel met ons mee over het Pieperpad </v>
      </c>
      <c r="P23" s="77"/>
      <c r="Q23" s="125"/>
      <c r="R23" s="79" t="str">
        <f>VLOOKUP(Q22,'Lezingen 2025'!$A$1:$F$61,4)</f>
        <v>algemeen</v>
      </c>
      <c r="S23" s="80" t="str">
        <f>VLOOKUP(Q22,'Lezingen 2025'!$A$1:$F$61,5)</f>
        <v>Slimme nematoden: Effectieve oplossingen tegen insectenplagen</v>
      </c>
      <c r="T23" s="77"/>
      <c r="U23" s="125"/>
      <c r="V23" s="79" t="str">
        <f>VLOOKUP(U22,'Lezingen 2025'!$A$1:$F$61,4)</f>
        <v>aardappel</v>
      </c>
      <c r="W23" s="80" t="str">
        <f>VLOOKUP(U22,'Lezingen 2025'!$A$1:$F$61,5)</f>
        <v>It's all about potatoes, aardappels en nog eens aardappels</v>
      </c>
    </row>
    <row r="24" spans="1:23" s="3" customFormat="1" ht="25.25" customHeight="1" x14ac:dyDescent="0.35">
      <c r="A24" s="81" t="s">
        <v>215</v>
      </c>
      <c r="B24" s="81" t="s">
        <v>216</v>
      </c>
      <c r="C24" s="82" t="s">
        <v>36</v>
      </c>
      <c r="D24" s="77"/>
      <c r="E24" s="84"/>
      <c r="F24" s="89"/>
      <c r="G24" s="90"/>
      <c r="H24" s="91"/>
      <c r="I24" s="84"/>
      <c r="J24" s="89"/>
      <c r="K24" s="90"/>
      <c r="L24" s="91"/>
      <c r="M24" s="84"/>
      <c r="N24" s="89"/>
      <c r="O24" s="90"/>
      <c r="P24" s="91"/>
      <c r="Q24" s="84"/>
      <c r="R24" s="89"/>
      <c r="S24" s="90"/>
      <c r="T24" s="91"/>
      <c r="U24" s="84"/>
      <c r="V24" s="89"/>
      <c r="W24" s="90"/>
    </row>
    <row r="25" spans="1:23" s="3" customFormat="1" ht="36" customHeight="1" x14ac:dyDescent="0.35">
      <c r="A25" s="123" t="s">
        <v>217</v>
      </c>
      <c r="B25" s="123" t="s">
        <v>218</v>
      </c>
      <c r="C25" s="124" t="s">
        <v>12</v>
      </c>
      <c r="D25" s="77"/>
      <c r="E25" s="125">
        <v>11</v>
      </c>
      <c r="F25" s="79" t="str">
        <f>VLOOKUP(E25,'Lezingen 2025'!$A$1:$F$61,2)</f>
        <v>Bayer</v>
      </c>
      <c r="G25" s="79" t="str">
        <f>VLOOKUP(E25,'Lezingen 2025'!$A$1:$F$61,3)</f>
        <v>Stefan van Heist</v>
      </c>
      <c r="H25" s="77"/>
      <c r="I25" s="125">
        <v>34</v>
      </c>
      <c r="J25" s="79" t="str">
        <f>VLOOKUP(I25,'Lezingen 2025'!$A$1:$F$61,2)</f>
        <v>Naturim</v>
      </c>
      <c r="K25" s="79" t="str">
        <f>VLOOKUP(I25,'Lezingen 2025'!$A$1:$F$61,3)</f>
        <v>Sander Bernaerts</v>
      </c>
      <c r="L25" s="77"/>
      <c r="M25" s="125">
        <v>16</v>
      </c>
      <c r="N25" s="80" t="str">
        <f>VLOOKUP(M25,'Lezingen 2025'!$A$1:$F$61,2)</f>
        <v>Certis Belchim</v>
      </c>
      <c r="O25" s="79" t="str">
        <f>VLOOKUP(M25,'Lezingen 2025'!$A$1:$F$61,3)</f>
        <v>Maarten van der Marel &amp; Fokke Smit</v>
      </c>
      <c r="P25" s="77"/>
      <c r="Q25" s="125">
        <v>36</v>
      </c>
      <c r="R25" s="80" t="str">
        <f>VLOOKUP(Q25,'Lezingen 2025'!$A$1:$F$61,2)</f>
        <v>Nufarm + Geersing PS</v>
      </c>
      <c r="S25" s="79" t="str">
        <f>VLOOKUP(Q25,'Lezingen 2025'!$A$1:$F$61,3)</f>
        <v>Ronny Traas &amp; Jan-Eric Geersing</v>
      </c>
      <c r="T25" s="77"/>
      <c r="U25" s="125">
        <v>31</v>
      </c>
      <c r="V25" s="79" t="str">
        <f>VLOOKUP(U25,'Lezingen 2025'!$A$1:$F$61,2)</f>
        <v xml:space="preserve">Koppert </v>
      </c>
      <c r="W25" s="79" t="str">
        <f>VLOOKUP(U25,'Lezingen 2025'!$A$1:$F$61,3)</f>
        <v>Koppert</v>
      </c>
    </row>
    <row r="26" spans="1:23" s="3" customFormat="1" ht="60" customHeight="1" x14ac:dyDescent="0.35">
      <c r="A26" s="123"/>
      <c r="B26" s="123"/>
      <c r="C26" s="124"/>
      <c r="D26" s="77"/>
      <c r="E26" s="125"/>
      <c r="F26" s="79" t="str">
        <f>VLOOKUP(E25,'Lezingen 2025'!$A$1:$F$61,4)</f>
        <v>uien</v>
      </c>
      <c r="G26" s="80" t="str">
        <f>VLOOKUP(E25,'Lezingen 2025'!$A$1:$F$61,5)</f>
        <v>Aliette nieuw in de (kleine) uien, Serenade update uienbreed</v>
      </c>
      <c r="H26" s="77"/>
      <c r="I26" s="125"/>
      <c r="J26" s="79" t="str">
        <f>VLOOKUP(I25,'Lezingen 2025'!$A$1:$F$61,4)</f>
        <v>algemeen</v>
      </c>
      <c r="K26" s="80" t="str">
        <f>VLOOKUP(I25,'Lezingen 2025'!$A$1:$F$61,5)</f>
        <v>Regeneratieve landbouw, wat kun jij ermee?</v>
      </c>
      <c r="L26" s="77"/>
      <c r="M26" s="125"/>
      <c r="N26" s="79" t="str">
        <f>VLOOKUP(M25,'Lezingen 2025'!$A$1:$F$61,4)</f>
        <v>uien</v>
      </c>
      <c r="O26" s="80" t="str">
        <f>VLOOKUP(M25,'Lezingen 2025'!$A$1:$F$61,5)</f>
        <v>Wandel met ons mee over het alternatieve pieperpad</v>
      </c>
      <c r="P26" s="77"/>
      <c r="Q26" s="125"/>
      <c r="R26" s="79" t="str">
        <f>VLOOKUP(Q25,'Lezingen 2025'!$A$1:$F$61,4)</f>
        <v>aardappel, suikerbiet</v>
      </c>
      <c r="S26" s="80" t="str">
        <f>VLOOKUP(Q25,'Lezingen 2025'!$A$1:$F$61,5)</f>
        <v xml:space="preserve">Robuuste rassen en Nuxine: Van proefveld naar toekomst. </v>
      </c>
      <c r="T26" s="77"/>
      <c r="U26" s="125"/>
      <c r="V26" s="79" t="str">
        <f>VLOOKUP(U25,'Lezingen 2025'!$A$1:$F$61,4)</f>
        <v>algemeen</v>
      </c>
      <c r="W26" s="80" t="str">
        <f>VLOOKUP(U25,'Lezingen 2025'!$A$1:$F$61,5)</f>
        <v>De kracht van natuurlijke vijanden en bankerplanten</v>
      </c>
    </row>
    <row r="27" spans="1:23" s="3" customFormat="1" ht="25.25" customHeight="1" x14ac:dyDescent="0.35">
      <c r="A27" s="81" t="s">
        <v>219</v>
      </c>
      <c r="B27" s="81" t="s">
        <v>220</v>
      </c>
      <c r="C27" s="82" t="s">
        <v>36</v>
      </c>
      <c r="D27" s="83"/>
      <c r="E27" s="84"/>
      <c r="F27" s="92"/>
      <c r="G27" s="92"/>
      <c r="H27" s="93"/>
      <c r="I27" s="94"/>
      <c r="J27" s="87"/>
      <c r="K27" s="95"/>
      <c r="L27" s="93"/>
      <c r="M27" s="94"/>
      <c r="N27" s="87"/>
      <c r="O27" s="95"/>
      <c r="P27" s="93"/>
      <c r="Q27" s="94"/>
      <c r="R27" s="87"/>
      <c r="S27" s="92"/>
      <c r="T27" s="93"/>
      <c r="U27" s="94"/>
      <c r="V27" s="92"/>
      <c r="W27" s="92"/>
    </row>
    <row r="28" spans="1:23" s="3" customFormat="1" ht="30.65" customHeight="1" x14ac:dyDescent="0.35">
      <c r="A28" s="123" t="s">
        <v>221</v>
      </c>
      <c r="B28" s="123" t="s">
        <v>222</v>
      </c>
      <c r="C28" s="124" t="s">
        <v>34</v>
      </c>
      <c r="D28" s="77"/>
      <c r="E28" s="125">
        <v>24</v>
      </c>
      <c r="F28" s="80" t="str">
        <f>VLOOKUP(E28,'Lezingen 2025'!$A$1:$F$61,2)</f>
        <v>ECOstyle</v>
      </c>
      <c r="G28" s="80" t="str">
        <f>VLOOKUP(E28,'Lezingen 2025'!$A$1:$F$61,3)</f>
        <v>Aukje Veldstra</v>
      </c>
      <c r="H28" s="93"/>
      <c r="I28" s="117">
        <v>34</v>
      </c>
      <c r="J28" s="80" t="str">
        <f>VLOOKUP(I28,'Lezingen 2025'!$A$1:$F$61,2)</f>
        <v>Naturim</v>
      </c>
      <c r="K28" s="80" t="str">
        <f>VLOOKUP(I28,'Lezingen 2025'!$A$1:$F$61,3)</f>
        <v>Sander Bernaerts</v>
      </c>
      <c r="L28" s="93"/>
      <c r="M28" s="117">
        <v>16</v>
      </c>
      <c r="N28" s="80" t="str">
        <f>VLOOKUP(M28,'Lezingen 2025'!$A$1:$F$61,2)</f>
        <v>Certis Belchim</v>
      </c>
      <c r="O28" s="80" t="str">
        <f>VLOOKUP(M28,'Lezingen 2025'!$A$1:$F$61,3)</f>
        <v>Maarten van der Marel &amp; Fokke Smit</v>
      </c>
      <c r="P28" s="93"/>
      <c r="Q28" s="117">
        <v>36</v>
      </c>
      <c r="R28" s="80" t="str">
        <f>VLOOKUP(Q28,'Lezingen 2025'!$A$1:$F$61,2)</f>
        <v>Nufarm + Geersing PS</v>
      </c>
      <c r="S28" s="80" t="str">
        <f>VLOOKUP(Q28,'Lezingen 2025'!$A$1:$F$61,3)</f>
        <v>Ronny Traas &amp; Jan-Eric Geersing</v>
      </c>
      <c r="T28" s="93"/>
      <c r="U28" s="117">
        <v>31</v>
      </c>
      <c r="V28" s="80" t="str">
        <f>VLOOKUP(U28,'Lezingen 2025'!$A$1:$F$61,2)</f>
        <v xml:space="preserve">Koppert </v>
      </c>
      <c r="W28" s="80" t="str">
        <f>VLOOKUP(U28,'Lezingen 2025'!$A$1:$F$61,3)</f>
        <v>Koppert</v>
      </c>
    </row>
    <row r="29" spans="1:23" s="3" customFormat="1" ht="41.4" customHeight="1" x14ac:dyDescent="0.35">
      <c r="A29" s="123"/>
      <c r="B29" s="123"/>
      <c r="C29" s="124"/>
      <c r="D29" s="77"/>
      <c r="E29" s="125"/>
      <c r="F29" s="80" t="str">
        <f>VLOOKUP(E28,'Lezingen 2025'!$A$1:$F$61,4)</f>
        <v>akkerbouw</v>
      </c>
      <c r="G29" s="80" t="str">
        <f>VLOOKUP(E28,'Lezingen 2025'!$A$1:$F$61,5)</f>
        <v>“De kracht van micro-organismen: wetenschap als basis voor rendement”</v>
      </c>
      <c r="H29" s="93"/>
      <c r="I29" s="117"/>
      <c r="J29" s="80" t="str">
        <f>VLOOKUP(I28,'Lezingen 2025'!$A$1:$F$61,4)</f>
        <v>algemeen</v>
      </c>
      <c r="K29" s="80" t="str">
        <f>VLOOKUP(I28,'Lezingen 2025'!$A$1:$F$61,5)</f>
        <v>Regeneratieve landbouw, wat kun jij ermee?</v>
      </c>
      <c r="L29" s="93"/>
      <c r="M29" s="117"/>
      <c r="N29" s="80" t="str">
        <f>VLOOKUP(M28,'Lezingen 2025'!$A$1:$F$61,4)</f>
        <v>uien</v>
      </c>
      <c r="O29" s="80" t="str">
        <f>VLOOKUP(M28,'Lezingen 2025'!$A$1:$F$61,5)</f>
        <v>Wandel met ons mee over het alternatieve pieperpad</v>
      </c>
      <c r="P29" s="93"/>
      <c r="Q29" s="117"/>
      <c r="R29" s="80" t="str">
        <f>VLOOKUP(Q28,'Lezingen 2025'!$A$1:$F$61,4)</f>
        <v>aardappel, suikerbiet</v>
      </c>
      <c r="S29" s="80" t="str">
        <f>VLOOKUP(Q28,'Lezingen 2025'!$A$1:$F$61,5)</f>
        <v xml:space="preserve">Robuuste rassen en Nuxine: Van proefveld naar toekomst. </v>
      </c>
      <c r="T29" s="93"/>
      <c r="U29" s="117"/>
      <c r="V29" s="80" t="str">
        <f>VLOOKUP(U28,'Lezingen 2025'!$A$1:$F$61,4)</f>
        <v>algemeen</v>
      </c>
      <c r="W29" s="80" t="str">
        <f>VLOOKUP(U28,'Lezingen 2025'!$A$1:$F$61,5)</f>
        <v>De kracht van natuurlijke vijanden en bankerplanten</v>
      </c>
    </row>
    <row r="30" spans="1:23" s="3" customFormat="1" ht="17.149999999999999" customHeight="1" x14ac:dyDescent="0.35">
      <c r="A30" s="81" t="s">
        <v>233</v>
      </c>
      <c r="B30" s="81" t="s">
        <v>234</v>
      </c>
      <c r="C30" s="85" t="s">
        <v>14</v>
      </c>
      <c r="D30" s="96"/>
      <c r="E30" s="84"/>
      <c r="F30" s="96"/>
      <c r="G30" s="96"/>
      <c r="H30" s="96"/>
      <c r="I30" s="84"/>
      <c r="J30" s="96"/>
      <c r="K30" s="96"/>
      <c r="L30" s="96"/>
      <c r="M30" s="84"/>
      <c r="N30" s="96"/>
      <c r="O30" s="96"/>
      <c r="P30" s="96"/>
      <c r="Q30" s="84"/>
      <c r="R30" s="96"/>
      <c r="S30" s="96"/>
      <c r="T30" s="96"/>
      <c r="U30" s="84"/>
      <c r="V30" s="96"/>
      <c r="W30" s="96"/>
    </row>
    <row r="31" spans="1:23" s="3" customFormat="1" ht="17.149999999999999" customHeight="1" x14ac:dyDescent="0.35">
      <c r="A31" s="81"/>
      <c r="B31" s="81" t="s">
        <v>234</v>
      </c>
      <c r="C31" s="85" t="s">
        <v>16</v>
      </c>
      <c r="D31" s="96"/>
      <c r="E31" s="84"/>
      <c r="F31" s="96"/>
      <c r="G31" s="96"/>
      <c r="H31" s="96"/>
      <c r="I31" s="84"/>
      <c r="J31" s="96"/>
      <c r="K31" s="96"/>
      <c r="L31" s="96"/>
      <c r="M31" s="84"/>
      <c r="N31" s="96"/>
      <c r="O31" s="96"/>
      <c r="P31" s="96"/>
      <c r="Q31" s="84"/>
      <c r="R31" s="96"/>
      <c r="S31" s="96"/>
      <c r="T31" s="96"/>
      <c r="U31" s="84"/>
      <c r="V31" s="96"/>
      <c r="W31" s="96"/>
    </row>
    <row r="32" spans="1:23" x14ac:dyDescent="0.35">
      <c r="E32"/>
      <c r="I32"/>
      <c r="M32"/>
      <c r="P32" s="5"/>
      <c r="Q32"/>
      <c r="T32" s="5"/>
      <c r="U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</sheetData>
  <mergeCells count="72">
    <mergeCell ref="M6:N6"/>
    <mergeCell ref="Q6:R6"/>
    <mergeCell ref="U6:V6"/>
    <mergeCell ref="C3:G3"/>
    <mergeCell ref="C4:G4"/>
    <mergeCell ref="C5:G5"/>
    <mergeCell ref="E6:F6"/>
    <mergeCell ref="I6:J6"/>
    <mergeCell ref="Q7:Q8"/>
    <mergeCell ref="Q10:Q11"/>
    <mergeCell ref="Q13:Q14"/>
    <mergeCell ref="Q16:Q17"/>
    <mergeCell ref="Q19:Q20"/>
    <mergeCell ref="E19:E20"/>
    <mergeCell ref="I16:I17"/>
    <mergeCell ref="I19:I20"/>
    <mergeCell ref="I22:I23"/>
    <mergeCell ref="M16:M17"/>
    <mergeCell ref="M19:M20"/>
    <mergeCell ref="E16:E17"/>
    <mergeCell ref="A7:A8"/>
    <mergeCell ref="B7:B8"/>
    <mergeCell ref="A10:A11"/>
    <mergeCell ref="B10:B11"/>
    <mergeCell ref="A13:A14"/>
    <mergeCell ref="B13:B14"/>
    <mergeCell ref="C7:C8"/>
    <mergeCell ref="C10:C11"/>
    <mergeCell ref="C13:C14"/>
    <mergeCell ref="M7:M8"/>
    <mergeCell ref="M10:M11"/>
    <mergeCell ref="M13:M14"/>
    <mergeCell ref="E7:E8"/>
    <mergeCell ref="E10:E11"/>
    <mergeCell ref="E13:E14"/>
    <mergeCell ref="I7:I8"/>
    <mergeCell ref="I10:I11"/>
    <mergeCell ref="I13:I14"/>
    <mergeCell ref="C16:C17"/>
    <mergeCell ref="C19:C20"/>
    <mergeCell ref="A16:A17"/>
    <mergeCell ref="B16:B17"/>
    <mergeCell ref="A19:A20"/>
    <mergeCell ref="B19:B20"/>
    <mergeCell ref="U7:U8"/>
    <mergeCell ref="U10:U11"/>
    <mergeCell ref="U13:U14"/>
    <mergeCell ref="U16:U17"/>
    <mergeCell ref="U19:U20"/>
    <mergeCell ref="M25:M26"/>
    <mergeCell ref="U25:U26"/>
    <mergeCell ref="U22:U23"/>
    <mergeCell ref="A25:A26"/>
    <mergeCell ref="B25:B26"/>
    <mergeCell ref="C25:C26"/>
    <mergeCell ref="E25:E26"/>
    <mergeCell ref="I25:I26"/>
    <mergeCell ref="C22:C23"/>
    <mergeCell ref="A22:A23"/>
    <mergeCell ref="B22:B23"/>
    <mergeCell ref="E22:E23"/>
    <mergeCell ref="M22:M23"/>
    <mergeCell ref="Q22:Q23"/>
    <mergeCell ref="Q25:Q26"/>
    <mergeCell ref="M28:M29"/>
    <mergeCell ref="Q28:Q29"/>
    <mergeCell ref="U28:U29"/>
    <mergeCell ref="A28:A29"/>
    <mergeCell ref="B28:B29"/>
    <mergeCell ref="C28:C29"/>
    <mergeCell ref="E28:E29"/>
    <mergeCell ref="I28:I29"/>
  </mergeCells>
  <pageMargins left="0.39370078740157483" right="0.39370078740157483" top="0.39370078740157483" bottom="0.19685039370078741" header="0.31496062992125984" footer="0.31496062992125984"/>
  <pageSetup paperSize="9" scale="5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2A0B-5B1D-4043-9CC4-9E84A0767866}">
  <dimension ref="A1:J57"/>
  <sheetViews>
    <sheetView tabSelected="1" topLeftCell="A40" zoomScale="90" zoomScaleNormal="90" workbookViewId="0">
      <selection activeCell="B48" sqref="B48:E48"/>
    </sheetView>
  </sheetViews>
  <sheetFormatPr defaultRowHeight="14.5" x14ac:dyDescent="0.35"/>
  <cols>
    <col min="1" max="1" width="8.90625" style="11" customWidth="1"/>
    <col min="2" max="2" width="14.36328125" bestFit="1" customWidth="1"/>
    <col min="3" max="3" width="23.08984375" bestFit="1" customWidth="1"/>
    <col min="4" max="4" width="15.453125" bestFit="1" customWidth="1"/>
    <col min="5" max="5" width="49.36328125" customWidth="1"/>
    <col min="6" max="6" width="60.08984375" hidden="1" customWidth="1"/>
    <col min="7" max="7" width="10" bestFit="1" customWidth="1"/>
    <col min="8" max="8" width="11.54296875" style="47" customWidth="1"/>
    <col min="9" max="9" width="14.36328125" style="47" customWidth="1"/>
    <col min="10" max="10" width="14.54296875" customWidth="1"/>
  </cols>
  <sheetData>
    <row r="1" spans="1:10" ht="15.5" x14ac:dyDescent="0.35">
      <c r="A1" s="12"/>
      <c r="B1" s="13" t="s">
        <v>28</v>
      </c>
      <c r="C1" s="14" t="s">
        <v>29</v>
      </c>
      <c r="D1" s="14" t="s">
        <v>30</v>
      </c>
      <c r="E1" s="15" t="s">
        <v>31</v>
      </c>
      <c r="F1" s="15" t="s">
        <v>32</v>
      </c>
      <c r="G1" s="55" t="s">
        <v>240</v>
      </c>
      <c r="H1" s="56" t="s">
        <v>239</v>
      </c>
      <c r="I1" s="103" t="s">
        <v>371</v>
      </c>
      <c r="J1" s="104" t="s">
        <v>236</v>
      </c>
    </row>
    <row r="2" spans="1:10" ht="45.65" customHeight="1" x14ac:dyDescent="0.35">
      <c r="A2" s="23">
        <v>1</v>
      </c>
      <c r="B2" s="24" t="s">
        <v>62</v>
      </c>
      <c r="C2" s="24" t="s">
        <v>63</v>
      </c>
      <c r="D2" s="24" t="s">
        <v>387</v>
      </c>
      <c r="E2" s="25" t="s">
        <v>64</v>
      </c>
      <c r="F2" s="26" t="s">
        <v>65</v>
      </c>
      <c r="G2" s="57">
        <v>1</v>
      </c>
      <c r="H2" s="58">
        <v>23</v>
      </c>
      <c r="I2" s="58">
        <v>23</v>
      </c>
      <c r="J2" s="57" t="s">
        <v>53</v>
      </c>
    </row>
    <row r="3" spans="1:10" ht="45.65" customHeight="1" x14ac:dyDescent="0.35">
      <c r="A3" s="12">
        <v>2</v>
      </c>
      <c r="B3" s="27" t="s">
        <v>62</v>
      </c>
      <c r="C3" s="27" t="s">
        <v>66</v>
      </c>
      <c r="D3" s="27" t="s">
        <v>42</v>
      </c>
      <c r="E3" s="28" t="s">
        <v>381</v>
      </c>
      <c r="F3" s="29" t="s">
        <v>67</v>
      </c>
      <c r="G3" s="57">
        <v>1</v>
      </c>
      <c r="H3" s="58">
        <v>36</v>
      </c>
      <c r="I3" s="58">
        <v>36</v>
      </c>
      <c r="J3" s="57" t="s">
        <v>53</v>
      </c>
    </row>
    <row r="4" spans="1:10" ht="45.65" customHeight="1" x14ac:dyDescent="0.35">
      <c r="A4" s="12">
        <v>3</v>
      </c>
      <c r="B4" s="27" t="s">
        <v>41</v>
      </c>
      <c r="C4" s="27" t="s">
        <v>68</v>
      </c>
      <c r="D4" s="27" t="s">
        <v>387</v>
      </c>
      <c r="E4" s="28" t="s">
        <v>69</v>
      </c>
      <c r="F4" s="29" t="s">
        <v>70</v>
      </c>
      <c r="G4" s="57">
        <v>1</v>
      </c>
      <c r="H4" s="58">
        <v>28</v>
      </c>
      <c r="I4" s="58">
        <v>28</v>
      </c>
      <c r="J4" s="57" t="s">
        <v>53</v>
      </c>
    </row>
    <row r="5" spans="1:10" ht="45.65" customHeight="1" x14ac:dyDescent="0.35">
      <c r="A5" s="12">
        <v>4</v>
      </c>
      <c r="B5" s="27" t="s">
        <v>41</v>
      </c>
      <c r="C5" s="27" t="s">
        <v>68</v>
      </c>
      <c r="D5" s="27" t="s">
        <v>71</v>
      </c>
      <c r="E5" s="28" t="s">
        <v>72</v>
      </c>
      <c r="F5" s="29" t="s">
        <v>73</v>
      </c>
      <c r="G5" s="57">
        <v>2</v>
      </c>
      <c r="H5" s="58">
        <v>41</v>
      </c>
      <c r="I5" s="58">
        <v>21</v>
      </c>
      <c r="J5" s="57" t="s">
        <v>53</v>
      </c>
    </row>
    <row r="6" spans="1:10" ht="45.65" customHeight="1" x14ac:dyDescent="0.35">
      <c r="A6" s="12">
        <f t="shared" ref="A6:A46" si="0">A5+1</f>
        <v>5</v>
      </c>
      <c r="B6" s="30" t="s">
        <v>41</v>
      </c>
      <c r="C6" s="30" t="s">
        <v>74</v>
      </c>
      <c r="D6" s="30" t="s">
        <v>44</v>
      </c>
      <c r="E6" s="31" t="s">
        <v>75</v>
      </c>
      <c r="F6" s="32" t="s">
        <v>76</v>
      </c>
      <c r="G6" s="57">
        <v>2</v>
      </c>
      <c r="H6" s="58">
        <v>62</v>
      </c>
      <c r="I6" s="58">
        <v>31</v>
      </c>
      <c r="J6" s="57" t="s">
        <v>53</v>
      </c>
    </row>
    <row r="7" spans="1:10" ht="45.65" customHeight="1" x14ac:dyDescent="0.35">
      <c r="A7" s="12">
        <f t="shared" si="0"/>
        <v>6</v>
      </c>
      <c r="B7" s="30" t="s">
        <v>41</v>
      </c>
      <c r="C7" s="30" t="s">
        <v>74</v>
      </c>
      <c r="D7" s="30" t="s">
        <v>71</v>
      </c>
      <c r="E7" s="31" t="s">
        <v>391</v>
      </c>
      <c r="F7" s="32" t="s">
        <v>77</v>
      </c>
      <c r="G7" s="57">
        <v>1</v>
      </c>
      <c r="H7" s="58">
        <v>22</v>
      </c>
      <c r="I7" s="58">
        <v>22</v>
      </c>
      <c r="J7" s="57" t="s">
        <v>53</v>
      </c>
    </row>
    <row r="8" spans="1:10" ht="45.65" customHeight="1" x14ac:dyDescent="0.35">
      <c r="A8" s="12">
        <f t="shared" si="0"/>
        <v>7</v>
      </c>
      <c r="B8" s="30" t="s">
        <v>41</v>
      </c>
      <c r="C8" s="30" t="s">
        <v>74</v>
      </c>
      <c r="D8" s="30" t="s">
        <v>42</v>
      </c>
      <c r="E8" s="31" t="s">
        <v>78</v>
      </c>
      <c r="F8" s="32" t="s">
        <v>79</v>
      </c>
      <c r="G8" s="57">
        <v>1</v>
      </c>
      <c r="H8" s="58">
        <v>17</v>
      </c>
      <c r="I8" s="58">
        <v>17</v>
      </c>
      <c r="J8" s="57" t="s">
        <v>53</v>
      </c>
    </row>
    <row r="9" spans="1:10" ht="45.65" customHeight="1" x14ac:dyDescent="0.35">
      <c r="A9" s="48">
        <f t="shared" si="0"/>
        <v>8</v>
      </c>
      <c r="B9" s="49" t="s">
        <v>41</v>
      </c>
      <c r="C9" s="50" t="s">
        <v>80</v>
      </c>
      <c r="D9" s="50" t="s">
        <v>71</v>
      </c>
      <c r="E9" s="51" t="s">
        <v>81</v>
      </c>
      <c r="F9" s="52" t="s">
        <v>82</v>
      </c>
      <c r="G9" s="59">
        <v>0</v>
      </c>
      <c r="H9" s="60">
        <v>9</v>
      </c>
      <c r="I9" s="60">
        <v>0</v>
      </c>
      <c r="J9" s="59"/>
    </row>
    <row r="10" spans="1:10" ht="45.65" customHeight="1" x14ac:dyDescent="0.35">
      <c r="A10" s="48">
        <f t="shared" si="0"/>
        <v>9</v>
      </c>
      <c r="B10" s="49" t="s">
        <v>41</v>
      </c>
      <c r="C10" s="50" t="s">
        <v>68</v>
      </c>
      <c r="D10" s="50" t="s">
        <v>83</v>
      </c>
      <c r="E10" s="51" t="s">
        <v>84</v>
      </c>
      <c r="F10" s="52" t="s">
        <v>85</v>
      </c>
      <c r="G10" s="59">
        <v>0</v>
      </c>
      <c r="H10" s="60">
        <v>7</v>
      </c>
      <c r="I10" s="60">
        <v>0</v>
      </c>
      <c r="J10" s="59"/>
    </row>
    <row r="11" spans="1:10" ht="45.65" customHeight="1" x14ac:dyDescent="0.35">
      <c r="A11" s="12">
        <f t="shared" si="0"/>
        <v>10</v>
      </c>
      <c r="B11" s="27" t="s">
        <v>38</v>
      </c>
      <c r="C11" s="27" t="s">
        <v>379</v>
      </c>
      <c r="D11" s="27" t="s">
        <v>42</v>
      </c>
      <c r="E11" s="28" t="s">
        <v>86</v>
      </c>
      <c r="F11" s="29" t="s">
        <v>87</v>
      </c>
      <c r="G11" s="57">
        <v>2</v>
      </c>
      <c r="H11" s="58">
        <v>44</v>
      </c>
      <c r="I11" s="58">
        <v>22</v>
      </c>
      <c r="J11" s="57" t="s">
        <v>55</v>
      </c>
    </row>
    <row r="12" spans="1:10" ht="45.65" customHeight="1" x14ac:dyDescent="0.35">
      <c r="A12" s="12">
        <f t="shared" si="0"/>
        <v>11</v>
      </c>
      <c r="B12" s="27" t="s">
        <v>38</v>
      </c>
      <c r="C12" s="27" t="s">
        <v>88</v>
      </c>
      <c r="D12" s="27" t="s">
        <v>44</v>
      </c>
      <c r="E12" s="28" t="s">
        <v>89</v>
      </c>
      <c r="F12" s="29" t="s">
        <v>90</v>
      </c>
      <c r="G12" s="57">
        <v>1</v>
      </c>
      <c r="H12" s="58">
        <v>42</v>
      </c>
      <c r="I12" s="58">
        <v>42</v>
      </c>
      <c r="J12" s="57" t="s">
        <v>55</v>
      </c>
    </row>
    <row r="13" spans="1:10" ht="45.65" customHeight="1" x14ac:dyDescent="0.35">
      <c r="A13" s="12">
        <f t="shared" si="0"/>
        <v>12</v>
      </c>
      <c r="B13" s="27" t="s">
        <v>38</v>
      </c>
      <c r="C13" s="27" t="s">
        <v>91</v>
      </c>
      <c r="D13" s="27" t="s">
        <v>71</v>
      </c>
      <c r="E13" s="28" t="s">
        <v>92</v>
      </c>
      <c r="F13" s="35" t="s">
        <v>93</v>
      </c>
      <c r="G13" s="57">
        <v>2</v>
      </c>
      <c r="H13" s="58">
        <v>54</v>
      </c>
      <c r="I13" s="58">
        <v>27</v>
      </c>
      <c r="J13" s="57" t="s">
        <v>55</v>
      </c>
    </row>
    <row r="14" spans="1:10" ht="45.65" customHeight="1" x14ac:dyDescent="0.35">
      <c r="A14" s="48">
        <f t="shared" si="0"/>
        <v>13</v>
      </c>
      <c r="B14" s="50" t="s">
        <v>38</v>
      </c>
      <c r="C14" s="50" t="s">
        <v>94</v>
      </c>
      <c r="D14" s="50" t="s">
        <v>95</v>
      </c>
      <c r="E14" s="53" t="s">
        <v>96</v>
      </c>
      <c r="F14" s="54" t="s">
        <v>97</v>
      </c>
      <c r="G14" s="59">
        <v>0</v>
      </c>
      <c r="H14" s="60">
        <v>13</v>
      </c>
      <c r="I14" s="60">
        <v>0</v>
      </c>
      <c r="J14" s="59" t="s">
        <v>55</v>
      </c>
    </row>
    <row r="15" spans="1:10" ht="45.65" customHeight="1" x14ac:dyDescent="0.35">
      <c r="A15" s="12">
        <f t="shared" si="0"/>
        <v>14</v>
      </c>
      <c r="B15" s="27" t="s">
        <v>38</v>
      </c>
      <c r="C15" s="27" t="s">
        <v>98</v>
      </c>
      <c r="D15" s="27" t="s">
        <v>51</v>
      </c>
      <c r="E15" s="28" t="s">
        <v>99</v>
      </c>
      <c r="F15" s="29" t="s">
        <v>100</v>
      </c>
      <c r="G15" s="57">
        <v>2</v>
      </c>
      <c r="H15" s="58">
        <v>54</v>
      </c>
      <c r="I15" s="58">
        <v>27</v>
      </c>
      <c r="J15" s="57" t="s">
        <v>139</v>
      </c>
    </row>
    <row r="16" spans="1:10" ht="45.65" customHeight="1" x14ac:dyDescent="0.35">
      <c r="A16" s="12">
        <f>A15+1</f>
        <v>15</v>
      </c>
      <c r="B16" s="36" t="s">
        <v>47</v>
      </c>
      <c r="C16" s="27" t="s">
        <v>376</v>
      </c>
      <c r="D16" s="37" t="s">
        <v>71</v>
      </c>
      <c r="E16" s="38" t="s">
        <v>102</v>
      </c>
      <c r="F16" s="39" t="s">
        <v>103</v>
      </c>
      <c r="G16" s="57">
        <v>2</v>
      </c>
      <c r="H16" s="58">
        <v>43</v>
      </c>
      <c r="I16" s="58">
        <v>22</v>
      </c>
      <c r="J16" s="57" t="s">
        <v>55</v>
      </c>
    </row>
    <row r="17" spans="1:10" ht="45.65" customHeight="1" x14ac:dyDescent="0.35">
      <c r="A17" s="12">
        <f t="shared" si="0"/>
        <v>16</v>
      </c>
      <c r="B17" s="36" t="s">
        <v>47</v>
      </c>
      <c r="C17" s="40" t="s">
        <v>104</v>
      </c>
      <c r="D17" s="12" t="s">
        <v>44</v>
      </c>
      <c r="E17" s="41" t="s">
        <v>105</v>
      </c>
      <c r="F17" s="42" t="s">
        <v>106</v>
      </c>
      <c r="G17" s="57">
        <v>2</v>
      </c>
      <c r="H17" s="58">
        <v>50</v>
      </c>
      <c r="I17" s="58">
        <v>25</v>
      </c>
      <c r="J17" s="57" t="s">
        <v>55</v>
      </c>
    </row>
    <row r="18" spans="1:10" ht="45.65" customHeight="1" x14ac:dyDescent="0.35">
      <c r="A18" s="12">
        <f t="shared" si="0"/>
        <v>17</v>
      </c>
      <c r="B18" s="27" t="s">
        <v>46</v>
      </c>
      <c r="C18" s="27" t="s">
        <v>380</v>
      </c>
      <c r="D18" s="27" t="s">
        <v>107</v>
      </c>
      <c r="E18" s="28" t="s">
        <v>108</v>
      </c>
      <c r="F18" s="29" t="s">
        <v>109</v>
      </c>
      <c r="G18" s="57">
        <v>1</v>
      </c>
      <c r="H18" s="58">
        <v>26</v>
      </c>
      <c r="I18" s="58">
        <v>26</v>
      </c>
      <c r="J18" s="57" t="s">
        <v>55</v>
      </c>
    </row>
    <row r="19" spans="1:10" ht="45.65" customHeight="1" x14ac:dyDescent="0.35">
      <c r="A19" s="12">
        <f t="shared" si="0"/>
        <v>18</v>
      </c>
      <c r="B19" s="27" t="s">
        <v>46</v>
      </c>
      <c r="C19" s="27" t="s">
        <v>380</v>
      </c>
      <c r="D19" s="27" t="s">
        <v>71</v>
      </c>
      <c r="E19" s="28" t="s">
        <v>110</v>
      </c>
      <c r="F19" s="29"/>
      <c r="G19" s="57">
        <v>1</v>
      </c>
      <c r="H19" s="58">
        <v>29</v>
      </c>
      <c r="I19" s="58">
        <v>29</v>
      </c>
      <c r="J19" s="57" t="s">
        <v>55</v>
      </c>
    </row>
    <row r="20" spans="1:10" ht="45.65" customHeight="1" x14ac:dyDescent="0.35">
      <c r="A20" s="12">
        <f t="shared" si="0"/>
        <v>19</v>
      </c>
      <c r="B20" s="27" t="s">
        <v>46</v>
      </c>
      <c r="C20" s="27" t="s">
        <v>380</v>
      </c>
      <c r="D20" s="27" t="s">
        <v>42</v>
      </c>
      <c r="E20" s="28" t="s">
        <v>111</v>
      </c>
      <c r="F20" s="29" t="s">
        <v>112</v>
      </c>
      <c r="G20" s="57">
        <v>1</v>
      </c>
      <c r="H20" s="58">
        <v>29</v>
      </c>
      <c r="I20" s="58">
        <v>29</v>
      </c>
      <c r="J20" s="57" t="s">
        <v>55</v>
      </c>
    </row>
    <row r="21" spans="1:10" ht="45.65" customHeight="1" x14ac:dyDescent="0.35">
      <c r="A21" s="12">
        <f t="shared" si="0"/>
        <v>20</v>
      </c>
      <c r="B21" s="27" t="s">
        <v>46</v>
      </c>
      <c r="C21" s="27" t="s">
        <v>113</v>
      </c>
      <c r="D21" s="27" t="s">
        <v>44</v>
      </c>
      <c r="E21" s="28" t="s">
        <v>114</v>
      </c>
      <c r="F21" s="29" t="s">
        <v>115</v>
      </c>
      <c r="G21" s="57">
        <v>2</v>
      </c>
      <c r="H21" s="58">
        <v>59</v>
      </c>
      <c r="I21" s="58">
        <v>30</v>
      </c>
      <c r="J21" s="57" t="s">
        <v>55</v>
      </c>
    </row>
    <row r="22" spans="1:10" ht="45.65" customHeight="1" x14ac:dyDescent="0.35">
      <c r="A22" s="48">
        <f t="shared" si="0"/>
        <v>21</v>
      </c>
      <c r="B22" s="50" t="s">
        <v>46</v>
      </c>
      <c r="C22" s="50" t="s">
        <v>116</v>
      </c>
      <c r="D22" s="50" t="s">
        <v>117</v>
      </c>
      <c r="E22" s="53" t="s">
        <v>118</v>
      </c>
      <c r="F22" s="54" t="s">
        <v>119</v>
      </c>
      <c r="G22" s="59">
        <v>0</v>
      </c>
      <c r="H22" s="60">
        <v>9</v>
      </c>
      <c r="I22" s="60">
        <v>0</v>
      </c>
      <c r="J22" s="59" t="s">
        <v>55</v>
      </c>
    </row>
    <row r="23" spans="1:10" ht="45.65" customHeight="1" x14ac:dyDescent="0.35">
      <c r="A23" s="12">
        <f t="shared" si="0"/>
        <v>22</v>
      </c>
      <c r="B23" s="43" t="s">
        <v>46</v>
      </c>
      <c r="C23" s="27" t="s">
        <v>113</v>
      </c>
      <c r="D23" s="27" t="s">
        <v>120</v>
      </c>
      <c r="E23" s="10" t="s">
        <v>121</v>
      </c>
      <c r="F23" s="44" t="s">
        <v>122</v>
      </c>
      <c r="G23" s="57">
        <v>1</v>
      </c>
      <c r="H23" s="58">
        <v>41</v>
      </c>
      <c r="I23" s="58">
        <v>21</v>
      </c>
      <c r="J23" s="57" t="s">
        <v>55</v>
      </c>
    </row>
    <row r="24" spans="1:10" ht="45.65" customHeight="1" x14ac:dyDescent="0.35">
      <c r="A24" s="12">
        <f t="shared" si="0"/>
        <v>23</v>
      </c>
      <c r="B24" s="105" t="s">
        <v>123</v>
      </c>
      <c r="C24" s="27" t="s">
        <v>124</v>
      </c>
      <c r="D24" s="27" t="s">
        <v>51</v>
      </c>
      <c r="E24" s="28" t="s">
        <v>125</v>
      </c>
      <c r="F24" s="29" t="s">
        <v>126</v>
      </c>
      <c r="G24" s="57">
        <v>2</v>
      </c>
      <c r="H24" s="58">
        <v>62</v>
      </c>
      <c r="I24" s="58">
        <v>31</v>
      </c>
      <c r="J24" s="42" t="s">
        <v>373</v>
      </c>
    </row>
    <row r="25" spans="1:10" ht="45.65" customHeight="1" x14ac:dyDescent="0.35">
      <c r="A25" s="12">
        <f t="shared" si="0"/>
        <v>24</v>
      </c>
      <c r="B25" s="27" t="s">
        <v>127</v>
      </c>
      <c r="C25" s="27" t="s">
        <v>128</v>
      </c>
      <c r="D25" s="27" t="s">
        <v>120</v>
      </c>
      <c r="E25" s="28" t="s">
        <v>129</v>
      </c>
      <c r="F25" s="29" t="s">
        <v>130</v>
      </c>
      <c r="G25" s="57">
        <v>1</v>
      </c>
      <c r="H25" s="58">
        <v>31</v>
      </c>
      <c r="I25" s="58">
        <v>31</v>
      </c>
      <c r="J25" s="57" t="s">
        <v>55</v>
      </c>
    </row>
    <row r="26" spans="1:10" ht="45.65" customHeight="1" x14ac:dyDescent="0.35">
      <c r="A26" s="12">
        <f t="shared" si="0"/>
        <v>25</v>
      </c>
      <c r="B26" s="33" t="s">
        <v>131</v>
      </c>
      <c r="C26" s="27" t="s">
        <v>132</v>
      </c>
      <c r="D26" s="37" t="s">
        <v>42</v>
      </c>
      <c r="E26" s="34" t="s">
        <v>401</v>
      </c>
      <c r="F26" s="35" t="s">
        <v>133</v>
      </c>
      <c r="G26" s="57">
        <v>1</v>
      </c>
      <c r="H26" s="58">
        <v>17</v>
      </c>
      <c r="I26" s="58">
        <v>17</v>
      </c>
      <c r="J26" s="57" t="s">
        <v>53</v>
      </c>
    </row>
    <row r="27" spans="1:10" ht="45.65" customHeight="1" x14ac:dyDescent="0.35">
      <c r="A27" s="12">
        <f t="shared" si="0"/>
        <v>26</v>
      </c>
      <c r="B27" s="33" t="s">
        <v>131</v>
      </c>
      <c r="C27" s="27" t="s">
        <v>132</v>
      </c>
      <c r="D27" s="37" t="s">
        <v>71</v>
      </c>
      <c r="E27" s="34" t="s">
        <v>402</v>
      </c>
      <c r="F27" s="35" t="s">
        <v>134</v>
      </c>
      <c r="G27" s="57">
        <v>1</v>
      </c>
      <c r="H27" s="58">
        <v>22</v>
      </c>
      <c r="I27" s="58">
        <v>22</v>
      </c>
      <c r="J27" s="57" t="s">
        <v>53</v>
      </c>
    </row>
    <row r="28" spans="1:10" ht="45.65" customHeight="1" x14ac:dyDescent="0.35">
      <c r="A28" s="12">
        <f t="shared" si="0"/>
        <v>27</v>
      </c>
      <c r="B28" s="33" t="s">
        <v>135</v>
      </c>
      <c r="C28" s="27" t="s">
        <v>136</v>
      </c>
      <c r="D28" s="27" t="s">
        <v>51</v>
      </c>
      <c r="E28" s="34" t="s">
        <v>137</v>
      </c>
      <c r="F28" s="35" t="s">
        <v>138</v>
      </c>
      <c r="G28" s="57">
        <v>3</v>
      </c>
      <c r="H28" s="58">
        <v>69</v>
      </c>
      <c r="I28" s="58">
        <v>23</v>
      </c>
      <c r="J28" s="57" t="s">
        <v>139</v>
      </c>
    </row>
    <row r="29" spans="1:10" ht="45.65" customHeight="1" x14ac:dyDescent="0.35">
      <c r="A29" s="12">
        <f t="shared" si="0"/>
        <v>28</v>
      </c>
      <c r="B29" s="27" t="s">
        <v>135</v>
      </c>
      <c r="C29" s="27" t="s">
        <v>140</v>
      </c>
      <c r="D29" s="27" t="s">
        <v>51</v>
      </c>
      <c r="E29" s="28" t="s">
        <v>141</v>
      </c>
      <c r="F29" s="29" t="s">
        <v>142</v>
      </c>
      <c r="G29" s="57">
        <v>1</v>
      </c>
      <c r="H29" s="58">
        <v>30</v>
      </c>
      <c r="I29" s="58">
        <v>30</v>
      </c>
      <c r="J29" s="57" t="s">
        <v>139</v>
      </c>
    </row>
    <row r="30" spans="1:10" ht="45.65" customHeight="1" x14ac:dyDescent="0.35">
      <c r="A30" s="12">
        <f t="shared" si="0"/>
        <v>29</v>
      </c>
      <c r="B30" s="40" t="s">
        <v>143</v>
      </c>
      <c r="C30" s="12" t="s">
        <v>144</v>
      </c>
      <c r="D30" s="12" t="s">
        <v>51</v>
      </c>
      <c r="E30" s="41" t="s">
        <v>145</v>
      </c>
      <c r="F30" s="42" t="s">
        <v>146</v>
      </c>
      <c r="G30" s="57">
        <v>1</v>
      </c>
      <c r="H30" s="58">
        <v>23</v>
      </c>
      <c r="I30" s="58">
        <v>23</v>
      </c>
      <c r="J30" s="57" t="s">
        <v>55</v>
      </c>
    </row>
    <row r="31" spans="1:10" ht="45.65" customHeight="1" x14ac:dyDescent="0.35">
      <c r="A31" s="12">
        <f t="shared" si="0"/>
        <v>30</v>
      </c>
      <c r="B31" s="40" t="s">
        <v>143</v>
      </c>
      <c r="C31" s="12" t="s">
        <v>144</v>
      </c>
      <c r="D31" s="12" t="s">
        <v>51</v>
      </c>
      <c r="E31" s="41" t="s">
        <v>147</v>
      </c>
      <c r="F31" s="42" t="s">
        <v>148</v>
      </c>
      <c r="G31" s="57">
        <v>2</v>
      </c>
      <c r="H31" s="58">
        <v>47</v>
      </c>
      <c r="I31" s="58">
        <v>24</v>
      </c>
      <c r="J31" s="57" t="s">
        <v>55</v>
      </c>
    </row>
    <row r="32" spans="1:10" ht="45.65" customHeight="1" x14ac:dyDescent="0.35">
      <c r="A32" s="12">
        <f t="shared" si="0"/>
        <v>31</v>
      </c>
      <c r="B32" s="40" t="s">
        <v>143</v>
      </c>
      <c r="C32" s="12" t="s">
        <v>144</v>
      </c>
      <c r="D32" s="12" t="s">
        <v>51</v>
      </c>
      <c r="E32" s="41" t="s">
        <v>149</v>
      </c>
      <c r="F32" s="42" t="s">
        <v>150</v>
      </c>
      <c r="G32" s="57">
        <v>2</v>
      </c>
      <c r="H32" s="58">
        <v>43</v>
      </c>
      <c r="I32" s="58">
        <v>22</v>
      </c>
      <c r="J32" s="57" t="s">
        <v>55</v>
      </c>
    </row>
    <row r="33" spans="1:10" ht="45.65" customHeight="1" x14ac:dyDescent="0.35">
      <c r="A33" s="12">
        <f t="shared" si="0"/>
        <v>32</v>
      </c>
      <c r="B33" s="40" t="s">
        <v>151</v>
      </c>
      <c r="C33" s="40" t="s">
        <v>375</v>
      </c>
      <c r="D33" s="40" t="s">
        <v>44</v>
      </c>
      <c r="E33" s="41" t="s">
        <v>393</v>
      </c>
      <c r="F33" s="42" t="s">
        <v>152</v>
      </c>
      <c r="G33" s="57">
        <v>1</v>
      </c>
      <c r="H33" s="58">
        <v>26</v>
      </c>
      <c r="I33" s="58">
        <v>26</v>
      </c>
      <c r="J33" s="57" t="s">
        <v>53</v>
      </c>
    </row>
    <row r="34" spans="1:10" ht="45.65" customHeight="1" x14ac:dyDescent="0.35">
      <c r="A34" s="12">
        <f t="shared" si="0"/>
        <v>33</v>
      </c>
      <c r="B34" s="40" t="s">
        <v>151</v>
      </c>
      <c r="C34" s="40" t="s">
        <v>375</v>
      </c>
      <c r="D34" s="40" t="s">
        <v>51</v>
      </c>
      <c r="E34" s="41" t="s">
        <v>392</v>
      </c>
      <c r="F34" s="42" t="s">
        <v>153</v>
      </c>
      <c r="G34" s="57">
        <v>1</v>
      </c>
      <c r="H34" s="58">
        <v>23</v>
      </c>
      <c r="I34" s="58">
        <v>23</v>
      </c>
      <c r="J34" s="57" t="s">
        <v>53</v>
      </c>
    </row>
    <row r="35" spans="1:10" ht="45.65" customHeight="1" x14ac:dyDescent="0.35">
      <c r="A35" s="12">
        <f t="shared" si="0"/>
        <v>34</v>
      </c>
      <c r="B35" s="105" t="s">
        <v>154</v>
      </c>
      <c r="C35" s="27" t="s">
        <v>155</v>
      </c>
      <c r="D35" s="27" t="s">
        <v>51</v>
      </c>
      <c r="E35" s="28" t="s">
        <v>156</v>
      </c>
      <c r="F35" s="29" t="s">
        <v>157</v>
      </c>
      <c r="G35" s="57">
        <v>2</v>
      </c>
      <c r="H35" s="58">
        <v>56</v>
      </c>
      <c r="I35" s="58">
        <v>28</v>
      </c>
      <c r="J35" s="57" t="s">
        <v>158</v>
      </c>
    </row>
    <row r="36" spans="1:10" ht="45.65" customHeight="1" x14ac:dyDescent="0.35">
      <c r="A36" s="12">
        <f t="shared" si="0"/>
        <v>35</v>
      </c>
      <c r="B36" s="27" t="s">
        <v>48</v>
      </c>
      <c r="C36" s="27" t="s">
        <v>159</v>
      </c>
      <c r="D36" s="27" t="s">
        <v>386</v>
      </c>
      <c r="E36" s="28" t="s">
        <v>160</v>
      </c>
      <c r="F36" s="29" t="s">
        <v>161</v>
      </c>
      <c r="G36" s="57">
        <v>1</v>
      </c>
      <c r="H36" s="58">
        <v>27</v>
      </c>
      <c r="I36" s="58">
        <v>27</v>
      </c>
      <c r="J36" s="57" t="s">
        <v>55</v>
      </c>
    </row>
    <row r="37" spans="1:10" ht="60.65" customHeight="1" x14ac:dyDescent="0.35">
      <c r="A37" s="12">
        <f t="shared" si="0"/>
        <v>36</v>
      </c>
      <c r="B37" s="27" t="s">
        <v>377</v>
      </c>
      <c r="C37" s="27" t="s">
        <v>374</v>
      </c>
      <c r="D37" s="27" t="s">
        <v>385</v>
      </c>
      <c r="E37" s="28" t="s">
        <v>162</v>
      </c>
      <c r="F37" s="29" t="s">
        <v>163</v>
      </c>
      <c r="G37" s="57">
        <v>2</v>
      </c>
      <c r="H37" s="58">
        <v>42</v>
      </c>
      <c r="I37" s="58">
        <v>21</v>
      </c>
      <c r="J37" s="57" t="s">
        <v>55</v>
      </c>
    </row>
    <row r="38" spans="1:10" ht="69.650000000000006" customHeight="1" x14ac:dyDescent="0.35">
      <c r="A38" s="12">
        <f t="shared" si="0"/>
        <v>37</v>
      </c>
      <c r="B38" s="27" t="s">
        <v>164</v>
      </c>
      <c r="C38" s="27" t="s">
        <v>165</v>
      </c>
      <c r="D38" s="27" t="s">
        <v>71</v>
      </c>
      <c r="E38" s="28" t="s">
        <v>166</v>
      </c>
      <c r="F38" s="29" t="s">
        <v>167</v>
      </c>
      <c r="G38" s="57">
        <v>1</v>
      </c>
      <c r="H38" s="58">
        <v>29</v>
      </c>
      <c r="I38" s="58">
        <v>29</v>
      </c>
      <c r="J38" s="57" t="s">
        <v>53</v>
      </c>
    </row>
    <row r="39" spans="1:10" ht="43.5" x14ac:dyDescent="0.35">
      <c r="A39" s="12">
        <f t="shared" si="0"/>
        <v>38</v>
      </c>
      <c r="B39" s="27" t="s">
        <v>164</v>
      </c>
      <c r="C39" s="27" t="s">
        <v>168</v>
      </c>
      <c r="D39" s="27" t="s">
        <v>44</v>
      </c>
      <c r="E39" s="28" t="s">
        <v>169</v>
      </c>
      <c r="F39" s="29" t="s">
        <v>170</v>
      </c>
      <c r="G39" s="57">
        <v>2</v>
      </c>
      <c r="H39" s="58">
        <v>48</v>
      </c>
      <c r="I39" s="58">
        <v>24</v>
      </c>
      <c r="J39" s="57" t="s">
        <v>53</v>
      </c>
    </row>
    <row r="40" spans="1:10" ht="33.65" customHeight="1" x14ac:dyDescent="0.35">
      <c r="A40" s="12">
        <f t="shared" si="0"/>
        <v>39</v>
      </c>
      <c r="B40" s="105" t="s">
        <v>171</v>
      </c>
      <c r="C40" s="27" t="s">
        <v>172</v>
      </c>
      <c r="D40" s="27" t="s">
        <v>51</v>
      </c>
      <c r="E40" s="28" t="s">
        <v>173</v>
      </c>
      <c r="F40" s="29" t="s">
        <v>174</v>
      </c>
      <c r="G40" s="57">
        <v>1</v>
      </c>
      <c r="H40" s="58">
        <v>29</v>
      </c>
      <c r="I40" s="58">
        <v>29</v>
      </c>
      <c r="J40" s="57" t="s">
        <v>158</v>
      </c>
    </row>
    <row r="41" spans="1:10" ht="31" x14ac:dyDescent="0.35">
      <c r="A41" s="12">
        <f t="shared" si="0"/>
        <v>40</v>
      </c>
      <c r="B41" s="105" t="s">
        <v>175</v>
      </c>
      <c r="C41" s="27" t="s">
        <v>176</v>
      </c>
      <c r="D41" s="27" t="s">
        <v>120</v>
      </c>
      <c r="E41" s="28" t="s">
        <v>403</v>
      </c>
      <c r="F41" s="35" t="s">
        <v>177</v>
      </c>
      <c r="G41" s="57">
        <v>1</v>
      </c>
      <c r="H41" s="58">
        <v>21</v>
      </c>
      <c r="I41" s="58">
        <v>21</v>
      </c>
      <c r="J41" s="57" t="s">
        <v>55</v>
      </c>
    </row>
    <row r="42" spans="1:10" ht="32.4" customHeight="1" x14ac:dyDescent="0.35">
      <c r="A42" s="12">
        <f t="shared" si="0"/>
        <v>41</v>
      </c>
      <c r="B42" s="27" t="s">
        <v>43</v>
      </c>
      <c r="C42" s="45" t="s">
        <v>178</v>
      </c>
      <c r="D42" s="27" t="s">
        <v>44</v>
      </c>
      <c r="E42" s="28" t="s">
        <v>179</v>
      </c>
      <c r="F42" s="39" t="s">
        <v>180</v>
      </c>
      <c r="G42" s="57">
        <v>1</v>
      </c>
      <c r="H42" s="58">
        <v>23</v>
      </c>
      <c r="I42" s="58">
        <v>23</v>
      </c>
      <c r="J42" s="57" t="s">
        <v>53</v>
      </c>
    </row>
    <row r="43" spans="1:10" ht="31" x14ac:dyDescent="0.35">
      <c r="A43" s="12">
        <f t="shared" si="0"/>
        <v>42</v>
      </c>
      <c r="B43" s="27" t="s">
        <v>43</v>
      </c>
      <c r="C43" s="27" t="s">
        <v>181</v>
      </c>
      <c r="D43" s="27" t="s">
        <v>182</v>
      </c>
      <c r="E43" s="28" t="s">
        <v>183</v>
      </c>
      <c r="F43" s="29" t="s">
        <v>184</v>
      </c>
      <c r="G43" s="57">
        <v>1</v>
      </c>
      <c r="H43" s="58">
        <v>44</v>
      </c>
      <c r="I43" s="58">
        <v>44</v>
      </c>
      <c r="J43" s="57" t="s">
        <v>53</v>
      </c>
    </row>
    <row r="44" spans="1:10" ht="43.5" x14ac:dyDescent="0.35">
      <c r="A44" s="12">
        <f t="shared" si="0"/>
        <v>43</v>
      </c>
      <c r="B44" s="27" t="s">
        <v>43</v>
      </c>
      <c r="C44" s="27" t="s">
        <v>185</v>
      </c>
      <c r="D44" s="27" t="s">
        <v>101</v>
      </c>
      <c r="E44" s="28" t="s">
        <v>186</v>
      </c>
      <c r="F44" s="39" t="s">
        <v>187</v>
      </c>
      <c r="G44" s="57">
        <v>1</v>
      </c>
      <c r="H44" s="58">
        <v>32</v>
      </c>
      <c r="I44" s="58">
        <v>32</v>
      </c>
      <c r="J44" s="57" t="s">
        <v>53</v>
      </c>
    </row>
    <row r="45" spans="1:10" ht="31" x14ac:dyDescent="0.35">
      <c r="A45" s="12">
        <f t="shared" si="0"/>
        <v>44</v>
      </c>
      <c r="B45" s="105" t="s">
        <v>45</v>
      </c>
      <c r="C45" s="27" t="s">
        <v>188</v>
      </c>
      <c r="D45" s="27" t="s">
        <v>71</v>
      </c>
      <c r="E45" s="28" t="s">
        <v>394</v>
      </c>
      <c r="F45" s="29" t="s">
        <v>189</v>
      </c>
      <c r="G45" s="57">
        <v>1</v>
      </c>
      <c r="H45" s="58">
        <v>15</v>
      </c>
      <c r="I45" s="58">
        <v>15</v>
      </c>
      <c r="J45" s="57" t="s">
        <v>53</v>
      </c>
    </row>
    <row r="46" spans="1:10" ht="52.75" customHeight="1" x14ac:dyDescent="0.35">
      <c r="A46" s="12">
        <f t="shared" si="0"/>
        <v>45</v>
      </c>
      <c r="B46" s="105" t="s">
        <v>39</v>
      </c>
      <c r="C46" s="27" t="s">
        <v>40</v>
      </c>
      <c r="D46" s="27" t="s">
        <v>71</v>
      </c>
      <c r="E46" s="46" t="s">
        <v>382</v>
      </c>
      <c r="F46" s="29" t="s">
        <v>190</v>
      </c>
      <c r="G46" s="57">
        <v>3</v>
      </c>
      <c r="H46" s="58">
        <v>85</v>
      </c>
      <c r="I46" s="58">
        <v>29</v>
      </c>
      <c r="J46" s="57" t="s">
        <v>191</v>
      </c>
    </row>
    <row r="47" spans="1:10" ht="22.25" customHeight="1" x14ac:dyDescent="0.35">
      <c r="A47" s="20"/>
      <c r="B47" s="21" t="s">
        <v>28</v>
      </c>
      <c r="C47" s="21" t="s">
        <v>29</v>
      </c>
      <c r="D47" s="139" t="s">
        <v>241</v>
      </c>
      <c r="E47" s="140"/>
      <c r="F47" s="22" t="s">
        <v>32</v>
      </c>
      <c r="G47" s="57"/>
      <c r="H47" s="58"/>
      <c r="I47" s="58"/>
      <c r="J47" s="57"/>
    </row>
    <row r="48" spans="1:10" ht="45.65" customHeight="1" x14ac:dyDescent="0.35">
      <c r="A48" s="16">
        <v>46</v>
      </c>
      <c r="B48" s="138" t="s">
        <v>368</v>
      </c>
      <c r="C48" s="127"/>
      <c r="D48" s="127"/>
      <c r="E48" s="128"/>
      <c r="F48" s="19"/>
      <c r="G48" s="57">
        <v>1</v>
      </c>
      <c r="H48" s="58"/>
      <c r="I48" s="58"/>
      <c r="J48" s="57" t="s">
        <v>237</v>
      </c>
    </row>
    <row r="49" spans="1:10" ht="45.65" customHeight="1" x14ac:dyDescent="0.35">
      <c r="A49" s="16">
        <v>47</v>
      </c>
      <c r="B49" s="17" t="s">
        <v>49</v>
      </c>
      <c r="C49" s="17" t="s">
        <v>50</v>
      </c>
      <c r="D49" s="18" t="s">
        <v>51</v>
      </c>
      <c r="E49" s="19" t="s">
        <v>52</v>
      </c>
      <c r="F49" s="19"/>
      <c r="G49" s="57">
        <v>4</v>
      </c>
      <c r="H49" s="58">
        <v>108</v>
      </c>
      <c r="I49" s="58">
        <v>27</v>
      </c>
      <c r="J49" s="57" t="s">
        <v>238</v>
      </c>
    </row>
    <row r="50" spans="1:10" ht="45.65" customHeight="1" x14ac:dyDescent="0.35">
      <c r="A50" s="16">
        <v>48</v>
      </c>
      <c r="B50" s="17" t="s">
        <v>49</v>
      </c>
      <c r="C50" s="17" t="s">
        <v>378</v>
      </c>
      <c r="D50" s="18" t="s">
        <v>51</v>
      </c>
      <c r="E50" s="19" t="s">
        <v>54</v>
      </c>
      <c r="F50" s="19"/>
      <c r="G50" s="57">
        <v>4</v>
      </c>
      <c r="H50" s="58">
        <v>108</v>
      </c>
      <c r="I50" s="58">
        <v>27</v>
      </c>
      <c r="J50" s="57" t="s">
        <v>55</v>
      </c>
    </row>
    <row r="51" spans="1:10" ht="45.65" customHeight="1" x14ac:dyDescent="0.35">
      <c r="A51" s="16">
        <v>49</v>
      </c>
      <c r="B51" s="17" t="s">
        <v>49</v>
      </c>
      <c r="C51" s="17" t="s">
        <v>56</v>
      </c>
      <c r="D51" s="18" t="s">
        <v>51</v>
      </c>
      <c r="E51" s="19" t="s">
        <v>57</v>
      </c>
      <c r="F51" s="19"/>
      <c r="G51" s="57">
        <v>4</v>
      </c>
      <c r="H51" s="58">
        <v>108</v>
      </c>
      <c r="I51" s="58">
        <v>27</v>
      </c>
      <c r="J51" s="57" t="s">
        <v>53</v>
      </c>
    </row>
    <row r="52" spans="1:10" ht="45.65" customHeight="1" x14ac:dyDescent="0.35">
      <c r="A52" s="16">
        <v>50</v>
      </c>
      <c r="B52" s="17" t="s">
        <v>49</v>
      </c>
      <c r="C52" s="17" t="s">
        <v>58</v>
      </c>
      <c r="D52" s="18" t="s">
        <v>51</v>
      </c>
      <c r="E52" s="19" t="s">
        <v>59</v>
      </c>
      <c r="F52" s="19"/>
      <c r="G52" s="57">
        <v>4</v>
      </c>
      <c r="H52" s="58">
        <v>108</v>
      </c>
      <c r="I52" s="58">
        <v>27</v>
      </c>
      <c r="J52" s="57" t="s">
        <v>53</v>
      </c>
    </row>
    <row r="53" spans="1:10" ht="45.65" customHeight="1" x14ac:dyDescent="0.35">
      <c r="A53" s="16">
        <v>51</v>
      </c>
      <c r="B53" s="17" t="s">
        <v>60</v>
      </c>
      <c r="C53" s="17" t="s">
        <v>61</v>
      </c>
      <c r="D53" s="18" t="s">
        <v>42</v>
      </c>
      <c r="E53" s="19" t="s">
        <v>390</v>
      </c>
      <c r="F53" s="19"/>
      <c r="G53" s="57">
        <v>4</v>
      </c>
      <c r="H53" s="58">
        <v>108</v>
      </c>
      <c r="I53" s="58">
        <v>27</v>
      </c>
      <c r="J53" s="57" t="s">
        <v>53</v>
      </c>
    </row>
    <row r="54" spans="1:10" ht="45.65" customHeight="1" x14ac:dyDescent="0.35">
      <c r="A54" s="16">
        <v>52</v>
      </c>
      <c r="B54" s="17" t="s">
        <v>49</v>
      </c>
      <c r="C54" s="17" t="s">
        <v>383</v>
      </c>
      <c r="D54" s="18" t="s">
        <v>51</v>
      </c>
      <c r="E54" s="19" t="s">
        <v>384</v>
      </c>
      <c r="F54" s="19"/>
      <c r="G54" s="57">
        <v>1</v>
      </c>
      <c r="H54" s="58">
        <v>25</v>
      </c>
      <c r="I54" s="58">
        <v>25</v>
      </c>
      <c r="J54" s="57" t="s">
        <v>53</v>
      </c>
    </row>
    <row r="55" spans="1:10" ht="45.65" customHeight="1" x14ac:dyDescent="0.35">
      <c r="A55" s="16">
        <v>53</v>
      </c>
      <c r="B55" s="17" t="s">
        <v>389</v>
      </c>
      <c r="C55" s="17" t="s">
        <v>388</v>
      </c>
      <c r="D55" s="18" t="s">
        <v>51</v>
      </c>
      <c r="E55" s="19" t="s">
        <v>406</v>
      </c>
      <c r="F55" s="19"/>
      <c r="G55" s="57">
        <v>2</v>
      </c>
      <c r="H55" s="58"/>
      <c r="I55" s="58"/>
      <c r="J55" s="57" t="s">
        <v>53</v>
      </c>
    </row>
    <row r="57" spans="1:10" x14ac:dyDescent="0.35">
      <c r="G57">
        <f>SUM(G2:G56)</f>
        <v>83</v>
      </c>
    </row>
  </sheetData>
  <autoFilter ref="A1:J55" xr:uid="{1D002A0B-5B1D-4043-9CC4-9E84A0767866}"/>
  <mergeCells count="2">
    <mergeCell ref="B48:E48"/>
    <mergeCell ref="D47:E47"/>
  </mergeCells>
  <phoneticPr fontId="23" type="noConversion"/>
  <pageMargins left="0.7" right="0.7" top="0.75" bottom="0.75" header="0.3" footer="0.3"/>
  <pageSetup paperSize="9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E42B-4657-4F3C-901B-F64C760284A0}">
  <dimension ref="A1:W109"/>
  <sheetViews>
    <sheetView topLeftCell="A95" zoomScale="82" zoomScaleNormal="150" workbookViewId="0">
      <selection activeCell="T28" sqref="T28"/>
    </sheetView>
  </sheetViews>
  <sheetFormatPr defaultRowHeight="14.5" x14ac:dyDescent="0.35"/>
  <cols>
    <col min="1" max="1" width="4.90625" bestFit="1" customWidth="1"/>
    <col min="2" max="2" width="30" bestFit="1" customWidth="1"/>
    <col min="3" max="3" width="5.08984375" style="61" customWidth="1"/>
    <col min="4" max="17" width="5.08984375" style="62" customWidth="1"/>
  </cols>
  <sheetData>
    <row r="1" spans="1:23" x14ac:dyDescent="0.35">
      <c r="A1" t="s">
        <v>242</v>
      </c>
      <c r="B1" t="s">
        <v>243</v>
      </c>
      <c r="C1" s="61" t="s">
        <v>244</v>
      </c>
      <c r="D1" s="62" t="s">
        <v>245</v>
      </c>
      <c r="E1" s="62" t="s">
        <v>246</v>
      </c>
      <c r="F1" s="62" t="s">
        <v>247</v>
      </c>
      <c r="G1" s="62" t="s">
        <v>248</v>
      </c>
      <c r="H1" s="62" t="s">
        <v>249</v>
      </c>
      <c r="I1" s="62" t="s">
        <v>250</v>
      </c>
      <c r="J1" s="62" t="s">
        <v>251</v>
      </c>
      <c r="K1" s="62" t="s">
        <v>252</v>
      </c>
      <c r="L1" s="62" t="s">
        <v>253</v>
      </c>
      <c r="M1" s="62" t="s">
        <v>254</v>
      </c>
      <c r="N1" s="62" t="s">
        <v>255</v>
      </c>
      <c r="O1" s="62" t="s">
        <v>256</v>
      </c>
      <c r="P1" s="62" t="s">
        <v>257</v>
      </c>
      <c r="Q1" s="62" t="s">
        <v>258</v>
      </c>
      <c r="R1" t="s">
        <v>395</v>
      </c>
      <c r="S1" t="s">
        <v>396</v>
      </c>
      <c r="T1" t="s">
        <v>397</v>
      </c>
      <c r="U1" t="s">
        <v>398</v>
      </c>
      <c r="V1" t="s">
        <v>399</v>
      </c>
      <c r="W1" t="s">
        <v>400</v>
      </c>
    </row>
    <row r="2" spans="1:23" x14ac:dyDescent="0.35">
      <c r="A2" s="111">
        <v>1</v>
      </c>
      <c r="B2" s="63" t="s">
        <v>259</v>
      </c>
      <c r="C2" s="108">
        <v>45</v>
      </c>
      <c r="D2" s="108">
        <v>41</v>
      </c>
      <c r="E2" s="108">
        <v>37</v>
      </c>
      <c r="F2" s="112">
        <v>33</v>
      </c>
      <c r="G2" s="110">
        <v>34</v>
      </c>
      <c r="H2" s="110">
        <v>31</v>
      </c>
      <c r="I2" s="110">
        <v>30</v>
      </c>
      <c r="J2" s="110">
        <v>28</v>
      </c>
      <c r="K2" s="110">
        <v>27</v>
      </c>
      <c r="L2" s="112">
        <v>5</v>
      </c>
      <c r="M2" s="113">
        <v>11</v>
      </c>
      <c r="N2" s="109">
        <v>14</v>
      </c>
      <c r="O2" s="109">
        <v>17</v>
      </c>
      <c r="P2" s="65"/>
      <c r="Q2" s="65"/>
      <c r="R2" s="107">
        <v>46</v>
      </c>
      <c r="S2" s="107">
        <v>47</v>
      </c>
      <c r="T2" s="107">
        <v>49</v>
      </c>
      <c r="U2" s="107">
        <v>50</v>
      </c>
      <c r="V2" s="107">
        <v>51</v>
      </c>
      <c r="W2" s="107">
        <v>48</v>
      </c>
    </row>
    <row r="3" spans="1:23" x14ac:dyDescent="0.35">
      <c r="A3" s="111">
        <v>2</v>
      </c>
      <c r="B3" s="63" t="s">
        <v>260</v>
      </c>
      <c r="C3" s="110">
        <v>4</v>
      </c>
      <c r="D3" s="109">
        <v>2</v>
      </c>
      <c r="E3" s="110">
        <v>5</v>
      </c>
      <c r="F3" s="110">
        <v>12</v>
      </c>
      <c r="G3" s="110">
        <v>20</v>
      </c>
      <c r="H3" s="112">
        <v>26</v>
      </c>
      <c r="I3" s="110">
        <v>27</v>
      </c>
      <c r="J3" s="110">
        <v>39</v>
      </c>
      <c r="K3" s="112">
        <v>45</v>
      </c>
      <c r="L3" s="112">
        <v>42</v>
      </c>
      <c r="M3" s="110">
        <v>10</v>
      </c>
      <c r="N3" s="110">
        <v>11</v>
      </c>
      <c r="O3" s="114" t="s">
        <v>395</v>
      </c>
      <c r="P3" s="65"/>
      <c r="Q3" s="65"/>
      <c r="R3" s="107">
        <v>46</v>
      </c>
      <c r="S3" s="107">
        <v>47</v>
      </c>
      <c r="T3" s="107">
        <v>49</v>
      </c>
      <c r="U3" s="107">
        <v>50</v>
      </c>
      <c r="V3" s="107">
        <v>51</v>
      </c>
      <c r="W3" s="107">
        <v>48</v>
      </c>
    </row>
    <row r="4" spans="1:23" x14ac:dyDescent="0.35">
      <c r="A4" s="115">
        <v>3</v>
      </c>
      <c r="B4" s="63" t="s">
        <v>261</v>
      </c>
      <c r="C4" s="66">
        <v>45</v>
      </c>
      <c r="D4" s="65">
        <v>42</v>
      </c>
      <c r="E4" s="66">
        <v>39</v>
      </c>
      <c r="F4" s="66">
        <v>36</v>
      </c>
      <c r="G4" s="66">
        <v>34</v>
      </c>
      <c r="H4" s="66">
        <v>27</v>
      </c>
      <c r="I4" s="66">
        <v>23</v>
      </c>
      <c r="J4" s="66">
        <v>20</v>
      </c>
      <c r="K4" s="66">
        <v>18</v>
      </c>
      <c r="L4" s="66">
        <v>14</v>
      </c>
      <c r="M4" s="66">
        <v>4</v>
      </c>
      <c r="N4" s="66">
        <v>25</v>
      </c>
      <c r="O4" s="66">
        <v>31</v>
      </c>
      <c r="P4" s="66">
        <v>33</v>
      </c>
      <c r="Q4" s="66">
        <v>38</v>
      </c>
      <c r="R4" s="107">
        <v>46</v>
      </c>
      <c r="S4" s="107">
        <v>47</v>
      </c>
      <c r="T4" s="107">
        <v>49</v>
      </c>
      <c r="U4" s="107">
        <v>50</v>
      </c>
      <c r="V4" s="107">
        <v>51</v>
      </c>
      <c r="W4" s="107">
        <v>48</v>
      </c>
    </row>
    <row r="5" spans="1:23" x14ac:dyDescent="0.35">
      <c r="A5" s="115">
        <v>4</v>
      </c>
      <c r="B5" s="63" t="s">
        <v>262</v>
      </c>
      <c r="C5" s="66">
        <v>5</v>
      </c>
      <c r="D5" s="65">
        <v>14</v>
      </c>
      <c r="E5" s="66">
        <v>15</v>
      </c>
      <c r="F5" s="66">
        <v>16</v>
      </c>
      <c r="G5" s="66">
        <v>18</v>
      </c>
      <c r="H5" s="66">
        <v>20</v>
      </c>
      <c r="I5" s="66">
        <v>22</v>
      </c>
      <c r="J5" s="66">
        <v>24</v>
      </c>
      <c r="K5" s="66">
        <v>27</v>
      </c>
      <c r="L5" s="66">
        <v>29</v>
      </c>
      <c r="M5" s="66">
        <v>31</v>
      </c>
      <c r="N5" s="66">
        <v>32</v>
      </c>
      <c r="O5" s="66">
        <v>33</v>
      </c>
      <c r="P5" s="66">
        <v>34</v>
      </c>
      <c r="Q5" s="66">
        <v>38</v>
      </c>
      <c r="R5" s="107">
        <v>46</v>
      </c>
      <c r="S5" s="107">
        <v>47</v>
      </c>
      <c r="T5" s="107">
        <v>49</v>
      </c>
      <c r="U5" s="107">
        <v>50</v>
      </c>
      <c r="V5" s="107">
        <v>51</v>
      </c>
      <c r="W5" s="107">
        <v>48</v>
      </c>
    </row>
    <row r="6" spans="1:23" x14ac:dyDescent="0.35">
      <c r="A6" s="115">
        <v>5</v>
      </c>
      <c r="B6" s="63" t="s">
        <v>264</v>
      </c>
      <c r="C6" s="66">
        <v>4</v>
      </c>
      <c r="D6" s="65">
        <v>7</v>
      </c>
      <c r="E6" s="66">
        <v>10</v>
      </c>
      <c r="F6" s="66">
        <v>26</v>
      </c>
      <c r="G6" s="66">
        <v>18</v>
      </c>
      <c r="H6" s="66">
        <v>28</v>
      </c>
      <c r="I6" s="66">
        <v>39</v>
      </c>
      <c r="J6" s="66">
        <v>42</v>
      </c>
      <c r="K6" s="66">
        <v>45</v>
      </c>
      <c r="L6" s="66">
        <v>12</v>
      </c>
      <c r="M6" s="66">
        <v>16</v>
      </c>
      <c r="N6" s="66">
        <v>2</v>
      </c>
      <c r="O6" s="66">
        <v>25</v>
      </c>
      <c r="P6" s="66">
        <v>33</v>
      </c>
      <c r="Q6" s="66">
        <v>36</v>
      </c>
      <c r="R6" s="107">
        <v>46</v>
      </c>
      <c r="S6" s="107">
        <v>47</v>
      </c>
      <c r="T6" s="107">
        <v>49</v>
      </c>
      <c r="U6" s="107">
        <v>50</v>
      </c>
      <c r="V6" s="107">
        <v>51</v>
      </c>
      <c r="W6" s="107">
        <v>48</v>
      </c>
    </row>
    <row r="7" spans="1:23" x14ac:dyDescent="0.35">
      <c r="A7" s="115">
        <v>6</v>
      </c>
      <c r="B7" s="64" t="s">
        <v>265</v>
      </c>
      <c r="C7" s="66">
        <v>10</v>
      </c>
      <c r="D7" s="66">
        <v>14</v>
      </c>
      <c r="E7" s="66">
        <v>16</v>
      </c>
      <c r="F7" s="66">
        <v>20</v>
      </c>
      <c r="G7" s="66">
        <v>23</v>
      </c>
      <c r="H7" s="66">
        <v>31</v>
      </c>
      <c r="I7" s="66">
        <v>30</v>
      </c>
      <c r="J7" s="66">
        <v>32</v>
      </c>
      <c r="K7" s="66">
        <v>33</v>
      </c>
      <c r="L7" s="66">
        <v>34</v>
      </c>
      <c r="M7" s="66">
        <v>35</v>
      </c>
      <c r="N7" s="66">
        <v>38</v>
      </c>
      <c r="O7" s="66">
        <v>39</v>
      </c>
      <c r="P7" s="66">
        <v>42</v>
      </c>
      <c r="Q7" s="66">
        <v>5</v>
      </c>
      <c r="R7" s="107">
        <v>46</v>
      </c>
      <c r="S7" s="107">
        <v>47</v>
      </c>
      <c r="T7" s="107">
        <v>49</v>
      </c>
      <c r="U7" s="107">
        <v>50</v>
      </c>
      <c r="V7" s="107">
        <v>51</v>
      </c>
      <c r="W7" s="107">
        <v>48</v>
      </c>
    </row>
    <row r="8" spans="1:23" x14ac:dyDescent="0.35">
      <c r="A8" s="115">
        <v>7</v>
      </c>
      <c r="B8" s="64" t="s">
        <v>266</v>
      </c>
      <c r="C8" s="66">
        <v>14</v>
      </c>
      <c r="D8" s="66">
        <v>23</v>
      </c>
      <c r="E8" s="66">
        <v>24</v>
      </c>
      <c r="F8" s="66">
        <v>29</v>
      </c>
      <c r="G8" s="66">
        <v>30</v>
      </c>
      <c r="H8" s="66">
        <v>31</v>
      </c>
      <c r="I8" s="66">
        <v>32</v>
      </c>
      <c r="J8" s="66">
        <v>33</v>
      </c>
      <c r="K8" s="66">
        <v>34</v>
      </c>
      <c r="L8" s="66">
        <v>36</v>
      </c>
      <c r="M8" s="66">
        <v>35</v>
      </c>
      <c r="N8" s="66">
        <v>37</v>
      </c>
      <c r="O8" s="66">
        <v>38</v>
      </c>
      <c r="P8" s="66">
        <v>40</v>
      </c>
      <c r="Q8" s="66">
        <v>22</v>
      </c>
      <c r="R8" s="107">
        <v>46</v>
      </c>
      <c r="S8" s="107">
        <v>47</v>
      </c>
      <c r="T8" s="107">
        <v>49</v>
      </c>
      <c r="U8" s="107">
        <v>50</v>
      </c>
      <c r="V8" s="107">
        <v>51</v>
      </c>
      <c r="W8" s="107">
        <v>48</v>
      </c>
    </row>
    <row r="9" spans="1:23" x14ac:dyDescent="0.35">
      <c r="A9" s="115">
        <v>8</v>
      </c>
      <c r="B9" s="64" t="s">
        <v>267</v>
      </c>
      <c r="C9" s="66">
        <v>5</v>
      </c>
      <c r="D9" s="66">
        <v>18</v>
      </c>
      <c r="E9" s="66">
        <v>42</v>
      </c>
      <c r="F9" s="66">
        <v>6</v>
      </c>
      <c r="G9" s="66">
        <v>12</v>
      </c>
      <c r="H9" s="66">
        <v>20</v>
      </c>
      <c r="I9" s="66">
        <v>23</v>
      </c>
      <c r="J9" s="66">
        <v>34</v>
      </c>
      <c r="K9" s="66">
        <v>38</v>
      </c>
      <c r="L9" s="66">
        <v>28</v>
      </c>
      <c r="M9" s="66">
        <v>1</v>
      </c>
      <c r="N9" s="66">
        <v>7</v>
      </c>
      <c r="O9" s="66">
        <v>45</v>
      </c>
      <c r="P9" s="66">
        <v>22</v>
      </c>
      <c r="Q9" s="66">
        <v>30</v>
      </c>
      <c r="R9" s="107">
        <v>46</v>
      </c>
      <c r="S9" s="107">
        <v>47</v>
      </c>
      <c r="T9" s="107">
        <v>49</v>
      </c>
      <c r="U9" s="107">
        <v>50</v>
      </c>
      <c r="V9" s="107">
        <v>51</v>
      </c>
      <c r="W9" s="107">
        <v>48</v>
      </c>
    </row>
    <row r="10" spans="1:23" x14ac:dyDescent="0.35">
      <c r="A10" s="63">
        <v>9</v>
      </c>
      <c r="B10" s="64" t="s">
        <v>268</v>
      </c>
      <c r="C10" s="66">
        <v>4</v>
      </c>
      <c r="D10" s="66">
        <v>5</v>
      </c>
      <c r="E10" s="66">
        <v>11</v>
      </c>
      <c r="F10" s="66">
        <v>12</v>
      </c>
      <c r="G10" s="66">
        <v>17</v>
      </c>
      <c r="H10" s="66">
        <v>23</v>
      </c>
      <c r="I10" s="66">
        <v>25</v>
      </c>
      <c r="J10" s="66">
        <v>29</v>
      </c>
      <c r="K10" s="66">
        <v>30</v>
      </c>
      <c r="L10" s="66">
        <v>36</v>
      </c>
      <c r="M10" s="66">
        <v>45</v>
      </c>
      <c r="N10" s="66">
        <v>2</v>
      </c>
      <c r="O10" s="66">
        <v>14</v>
      </c>
      <c r="P10" s="66">
        <v>16</v>
      </c>
      <c r="Q10" s="66">
        <v>38</v>
      </c>
      <c r="R10" s="107">
        <v>46</v>
      </c>
      <c r="S10" s="107">
        <v>47</v>
      </c>
      <c r="T10" s="107">
        <v>49</v>
      </c>
      <c r="U10" s="107">
        <v>50</v>
      </c>
      <c r="V10" s="107">
        <v>51</v>
      </c>
      <c r="W10" s="107">
        <v>48</v>
      </c>
    </row>
    <row r="11" spans="1:23" x14ac:dyDescent="0.35">
      <c r="A11" s="63">
        <v>10</v>
      </c>
      <c r="B11" s="64" t="s">
        <v>269</v>
      </c>
      <c r="C11" s="66">
        <v>5</v>
      </c>
      <c r="D11" s="66">
        <v>6</v>
      </c>
      <c r="E11" s="66">
        <v>10</v>
      </c>
      <c r="F11" s="66">
        <v>2</v>
      </c>
      <c r="G11" s="66">
        <v>11</v>
      </c>
      <c r="H11" s="66">
        <v>15</v>
      </c>
      <c r="I11" s="66">
        <v>20</v>
      </c>
      <c r="J11" s="66">
        <v>23</v>
      </c>
      <c r="K11" s="66">
        <v>30</v>
      </c>
      <c r="L11" s="66">
        <v>35</v>
      </c>
      <c r="M11" s="66">
        <v>36</v>
      </c>
      <c r="N11" s="66">
        <v>43</v>
      </c>
      <c r="O11" s="66">
        <v>14</v>
      </c>
      <c r="P11" s="66">
        <v>22</v>
      </c>
      <c r="Q11" s="66">
        <v>26</v>
      </c>
      <c r="R11" s="107">
        <v>46</v>
      </c>
      <c r="S11" s="107">
        <v>47</v>
      </c>
      <c r="T11" s="107">
        <v>49</v>
      </c>
      <c r="U11" s="107">
        <v>50</v>
      </c>
      <c r="V11" s="107">
        <v>51</v>
      </c>
      <c r="W11" s="107">
        <v>48</v>
      </c>
    </row>
    <row r="12" spans="1:23" x14ac:dyDescent="0.35">
      <c r="A12" s="63">
        <v>11</v>
      </c>
      <c r="B12" s="64" t="s">
        <v>270</v>
      </c>
      <c r="C12" s="66">
        <v>2</v>
      </c>
      <c r="D12" s="66">
        <v>5</v>
      </c>
      <c r="E12" s="66">
        <v>15</v>
      </c>
      <c r="F12" s="66">
        <v>16</v>
      </c>
      <c r="G12" s="66">
        <v>17</v>
      </c>
      <c r="H12" s="66">
        <v>18</v>
      </c>
      <c r="I12" s="66">
        <v>19</v>
      </c>
      <c r="J12" s="66">
        <v>43</v>
      </c>
      <c r="K12" s="66">
        <v>38</v>
      </c>
      <c r="L12" s="66">
        <v>23</v>
      </c>
      <c r="M12" s="66">
        <v>34</v>
      </c>
      <c r="N12" s="66">
        <v>28</v>
      </c>
      <c r="O12" s="66">
        <v>7</v>
      </c>
      <c r="P12" s="66">
        <v>12</v>
      </c>
      <c r="Q12" s="66">
        <v>14</v>
      </c>
      <c r="R12" s="107">
        <v>46</v>
      </c>
      <c r="S12" s="107">
        <v>47</v>
      </c>
      <c r="T12" s="107">
        <v>49</v>
      </c>
      <c r="U12" s="107">
        <v>50</v>
      </c>
      <c r="V12" s="107">
        <v>51</v>
      </c>
      <c r="W12" s="107">
        <v>48</v>
      </c>
    </row>
    <row r="13" spans="1:23" x14ac:dyDescent="0.35">
      <c r="A13" s="63">
        <v>12</v>
      </c>
      <c r="B13" s="64" t="s">
        <v>271</v>
      </c>
      <c r="C13" s="66">
        <v>5</v>
      </c>
      <c r="D13" s="66">
        <v>11</v>
      </c>
      <c r="E13" s="66">
        <v>19</v>
      </c>
      <c r="F13" s="66">
        <v>22</v>
      </c>
      <c r="G13" s="66">
        <v>23</v>
      </c>
      <c r="H13" s="66">
        <v>24</v>
      </c>
      <c r="I13" s="66">
        <v>27</v>
      </c>
      <c r="J13" s="66">
        <v>30</v>
      </c>
      <c r="K13" s="66">
        <v>34</v>
      </c>
      <c r="L13" s="66">
        <v>37</v>
      </c>
      <c r="M13" s="66">
        <v>15</v>
      </c>
      <c r="N13" s="66">
        <v>40</v>
      </c>
      <c r="O13" s="66">
        <v>45</v>
      </c>
      <c r="P13" s="66">
        <v>33</v>
      </c>
      <c r="Q13" s="66">
        <v>32</v>
      </c>
      <c r="R13" s="107">
        <v>46</v>
      </c>
      <c r="S13" s="107">
        <v>47</v>
      </c>
      <c r="T13" s="107">
        <v>49</v>
      </c>
      <c r="U13" s="107">
        <v>50</v>
      </c>
      <c r="V13" s="107">
        <v>51</v>
      </c>
      <c r="W13" s="107">
        <v>48</v>
      </c>
    </row>
    <row r="14" spans="1:23" x14ac:dyDescent="0.35">
      <c r="A14" s="63">
        <v>13</v>
      </c>
      <c r="B14" s="64" t="s">
        <v>272</v>
      </c>
      <c r="C14" s="66">
        <v>45</v>
      </c>
      <c r="D14" s="66">
        <v>44</v>
      </c>
      <c r="E14" s="66">
        <v>43</v>
      </c>
      <c r="F14" s="66">
        <v>12</v>
      </c>
      <c r="G14" s="66">
        <v>15</v>
      </c>
      <c r="H14" s="66">
        <v>18</v>
      </c>
      <c r="I14" s="66">
        <v>19</v>
      </c>
      <c r="J14" s="66">
        <v>26</v>
      </c>
      <c r="K14" s="66">
        <v>27</v>
      </c>
      <c r="L14" s="66">
        <v>29</v>
      </c>
      <c r="M14" s="66">
        <v>39</v>
      </c>
      <c r="N14" s="66">
        <v>4</v>
      </c>
      <c r="O14" s="66">
        <v>36</v>
      </c>
      <c r="P14" s="65"/>
      <c r="Q14" s="65"/>
      <c r="R14" s="107">
        <v>46</v>
      </c>
      <c r="S14" s="107">
        <v>47</v>
      </c>
      <c r="T14" s="107">
        <v>49</v>
      </c>
      <c r="U14" s="107">
        <v>50</v>
      </c>
      <c r="V14" s="107">
        <v>51</v>
      </c>
      <c r="W14" s="107">
        <v>48</v>
      </c>
    </row>
    <row r="15" spans="1:23" x14ac:dyDescent="0.35">
      <c r="A15" s="63">
        <v>14</v>
      </c>
      <c r="B15" s="64" t="s">
        <v>274</v>
      </c>
      <c r="C15" s="66">
        <v>5</v>
      </c>
      <c r="D15" s="66">
        <v>10</v>
      </c>
      <c r="E15" s="66">
        <v>11</v>
      </c>
      <c r="F15" s="66">
        <v>15</v>
      </c>
      <c r="G15" s="66">
        <v>20</v>
      </c>
      <c r="H15" s="66">
        <v>25</v>
      </c>
      <c r="I15" s="66">
        <v>30</v>
      </c>
      <c r="J15" s="66">
        <v>42</v>
      </c>
      <c r="K15" s="66">
        <v>35</v>
      </c>
      <c r="L15" s="66">
        <v>38</v>
      </c>
      <c r="M15" s="66">
        <v>45</v>
      </c>
      <c r="N15" s="66">
        <v>2</v>
      </c>
      <c r="O15" s="66">
        <v>3</v>
      </c>
      <c r="P15" s="66">
        <v>18</v>
      </c>
      <c r="Q15" s="65"/>
      <c r="R15" s="107">
        <v>46</v>
      </c>
      <c r="S15" s="107">
        <v>47</v>
      </c>
      <c r="T15" s="107">
        <v>49</v>
      </c>
      <c r="U15" s="107">
        <v>50</v>
      </c>
      <c r="V15" s="107">
        <v>51</v>
      </c>
      <c r="W15" s="107">
        <v>48</v>
      </c>
    </row>
    <row r="16" spans="1:23" x14ac:dyDescent="0.35">
      <c r="A16" s="63">
        <v>15</v>
      </c>
      <c r="B16" s="64" t="s">
        <v>275</v>
      </c>
      <c r="C16" s="66">
        <v>45</v>
      </c>
      <c r="D16" s="66">
        <v>43</v>
      </c>
      <c r="E16" s="66">
        <v>42</v>
      </c>
      <c r="F16" s="66">
        <v>2</v>
      </c>
      <c r="G16" s="66">
        <v>3</v>
      </c>
      <c r="H16" s="66">
        <v>10</v>
      </c>
      <c r="I16" s="66">
        <v>16</v>
      </c>
      <c r="J16" s="66">
        <v>20</v>
      </c>
      <c r="K16" s="66">
        <v>25</v>
      </c>
      <c r="L16" s="66">
        <v>27</v>
      </c>
      <c r="M16" s="66">
        <v>35</v>
      </c>
      <c r="N16" s="66">
        <v>12</v>
      </c>
      <c r="O16" s="66">
        <v>18</v>
      </c>
      <c r="P16" s="66">
        <v>28</v>
      </c>
      <c r="Q16" s="65"/>
      <c r="R16" s="107">
        <v>46</v>
      </c>
      <c r="S16" s="107">
        <v>47</v>
      </c>
      <c r="T16" s="107">
        <v>49</v>
      </c>
      <c r="U16" s="107">
        <v>50</v>
      </c>
      <c r="V16" s="107">
        <v>51</v>
      </c>
      <c r="W16" s="107">
        <v>48</v>
      </c>
    </row>
    <row r="17" spans="1:23" x14ac:dyDescent="0.35">
      <c r="A17" s="63">
        <v>16</v>
      </c>
      <c r="B17" s="64" t="s">
        <v>276</v>
      </c>
      <c r="C17" s="66">
        <v>23</v>
      </c>
      <c r="D17" s="66">
        <v>45</v>
      </c>
      <c r="E17" s="66">
        <v>20</v>
      </c>
      <c r="F17" s="66">
        <v>19</v>
      </c>
      <c r="G17" s="66">
        <v>35</v>
      </c>
      <c r="H17" s="66">
        <v>34</v>
      </c>
      <c r="I17" s="66">
        <v>41</v>
      </c>
      <c r="J17" s="66">
        <v>42</v>
      </c>
      <c r="K17" s="66">
        <v>43</v>
      </c>
      <c r="L17" s="66">
        <v>18</v>
      </c>
      <c r="M17" s="66">
        <v>5</v>
      </c>
      <c r="N17" s="66">
        <v>32</v>
      </c>
      <c r="O17" s="66">
        <v>28</v>
      </c>
      <c r="P17" s="66">
        <v>30</v>
      </c>
      <c r="Q17" s="66">
        <v>29</v>
      </c>
      <c r="R17" s="107">
        <v>46</v>
      </c>
      <c r="S17" s="107">
        <v>47</v>
      </c>
      <c r="T17" s="107">
        <v>49</v>
      </c>
      <c r="U17" s="107">
        <v>50</v>
      </c>
      <c r="V17" s="107">
        <v>51</v>
      </c>
      <c r="W17" s="107">
        <v>48</v>
      </c>
    </row>
    <row r="18" spans="1:23" x14ac:dyDescent="0.35">
      <c r="A18" s="63">
        <v>17</v>
      </c>
      <c r="B18" s="64" t="s">
        <v>277</v>
      </c>
      <c r="C18" s="66">
        <v>2</v>
      </c>
      <c r="D18" s="66">
        <v>4</v>
      </c>
      <c r="E18" s="66">
        <v>5</v>
      </c>
      <c r="F18" s="66">
        <v>10</v>
      </c>
      <c r="G18" s="66">
        <v>11</v>
      </c>
      <c r="H18" s="66">
        <v>12</v>
      </c>
      <c r="I18" s="66">
        <v>14</v>
      </c>
      <c r="J18" s="66">
        <v>19</v>
      </c>
      <c r="K18" s="66">
        <v>20</v>
      </c>
      <c r="L18" s="66">
        <v>25</v>
      </c>
      <c r="M18" s="66">
        <v>33</v>
      </c>
      <c r="N18" s="66">
        <v>35</v>
      </c>
      <c r="O18" s="66">
        <v>36</v>
      </c>
      <c r="P18" s="66">
        <v>41</v>
      </c>
      <c r="Q18" s="66">
        <v>38</v>
      </c>
      <c r="R18" s="107">
        <v>46</v>
      </c>
      <c r="S18" s="107">
        <v>47</v>
      </c>
      <c r="T18" s="107">
        <v>49</v>
      </c>
      <c r="U18" s="107">
        <v>50</v>
      </c>
      <c r="V18" s="107">
        <v>51</v>
      </c>
      <c r="W18" s="107">
        <v>48</v>
      </c>
    </row>
    <row r="19" spans="1:23" x14ac:dyDescent="0.35">
      <c r="A19" s="63">
        <v>18</v>
      </c>
      <c r="B19" s="64" t="s">
        <v>278</v>
      </c>
      <c r="C19" s="66">
        <v>5</v>
      </c>
      <c r="D19" s="66">
        <v>7</v>
      </c>
      <c r="E19" s="66">
        <v>12</v>
      </c>
      <c r="F19" s="66">
        <v>20</v>
      </c>
      <c r="G19" s="66">
        <v>23</v>
      </c>
      <c r="H19" s="66">
        <v>27</v>
      </c>
      <c r="I19" s="66">
        <v>39</v>
      </c>
      <c r="J19" s="66">
        <v>25</v>
      </c>
      <c r="K19" s="66">
        <v>17</v>
      </c>
      <c r="L19" s="66">
        <v>14</v>
      </c>
      <c r="M19" s="66">
        <v>1</v>
      </c>
      <c r="N19" s="66">
        <v>4</v>
      </c>
      <c r="O19" s="66">
        <v>45</v>
      </c>
      <c r="P19" s="66">
        <v>30</v>
      </c>
      <c r="Q19" s="65"/>
      <c r="R19" s="107">
        <v>46</v>
      </c>
      <c r="S19" s="107">
        <v>47</v>
      </c>
      <c r="T19" s="107">
        <v>49</v>
      </c>
      <c r="U19" s="107">
        <v>50</v>
      </c>
      <c r="V19" s="107">
        <v>51</v>
      </c>
      <c r="W19" s="107">
        <v>48</v>
      </c>
    </row>
    <row r="20" spans="1:23" x14ac:dyDescent="0.35">
      <c r="A20" s="63">
        <v>19</v>
      </c>
      <c r="B20" s="64" t="s">
        <v>279</v>
      </c>
      <c r="C20" s="66">
        <v>5</v>
      </c>
      <c r="D20" s="66">
        <v>6</v>
      </c>
      <c r="E20" s="66">
        <v>11</v>
      </c>
      <c r="F20" s="66">
        <v>12</v>
      </c>
      <c r="G20" s="66">
        <v>16</v>
      </c>
      <c r="H20" s="66">
        <v>20</v>
      </c>
      <c r="I20" s="66">
        <v>22</v>
      </c>
      <c r="J20" s="66">
        <v>27</v>
      </c>
      <c r="K20" s="66">
        <v>30</v>
      </c>
      <c r="L20" s="66">
        <v>31</v>
      </c>
      <c r="M20" s="66">
        <v>32</v>
      </c>
      <c r="N20" s="66">
        <v>33</v>
      </c>
      <c r="O20" s="66">
        <v>35</v>
      </c>
      <c r="P20" s="66">
        <v>42</v>
      </c>
      <c r="Q20" s="66">
        <v>45</v>
      </c>
      <c r="R20" s="107">
        <v>46</v>
      </c>
      <c r="S20" s="107">
        <v>47</v>
      </c>
      <c r="T20" s="107">
        <v>49</v>
      </c>
      <c r="U20" s="107">
        <v>50</v>
      </c>
      <c r="V20" s="107">
        <v>51</v>
      </c>
      <c r="W20" s="107">
        <v>48</v>
      </c>
    </row>
    <row r="21" spans="1:23" x14ac:dyDescent="0.35">
      <c r="A21" s="63">
        <v>20</v>
      </c>
      <c r="B21" s="64" t="s">
        <v>280</v>
      </c>
      <c r="C21" s="66">
        <v>45</v>
      </c>
      <c r="D21" s="66">
        <v>42</v>
      </c>
      <c r="E21" s="66">
        <v>39</v>
      </c>
      <c r="F21" s="66">
        <v>28</v>
      </c>
      <c r="G21" s="66">
        <v>27</v>
      </c>
      <c r="H21" s="66">
        <v>26</v>
      </c>
      <c r="I21" s="66">
        <v>3</v>
      </c>
      <c r="J21" s="66">
        <v>5</v>
      </c>
      <c r="K21" s="66">
        <v>10</v>
      </c>
      <c r="L21" s="66">
        <v>12</v>
      </c>
      <c r="M21" s="66">
        <v>15</v>
      </c>
      <c r="N21" s="66">
        <v>17</v>
      </c>
      <c r="O21" s="66">
        <v>16</v>
      </c>
      <c r="P21" s="65"/>
      <c r="Q21" s="65"/>
      <c r="R21" s="107">
        <v>46</v>
      </c>
      <c r="S21" s="107">
        <v>47</v>
      </c>
      <c r="T21" s="107">
        <v>49</v>
      </c>
      <c r="U21" s="107">
        <v>50</v>
      </c>
      <c r="V21" s="107">
        <v>51</v>
      </c>
      <c r="W21" s="107">
        <v>48</v>
      </c>
    </row>
    <row r="22" spans="1:23" x14ac:dyDescent="0.35">
      <c r="A22" s="63">
        <v>21</v>
      </c>
      <c r="B22" s="64" t="s">
        <v>281</v>
      </c>
      <c r="C22" s="66">
        <v>4</v>
      </c>
      <c r="D22" s="66">
        <v>5</v>
      </c>
      <c r="E22" s="66">
        <v>6</v>
      </c>
      <c r="F22" s="66">
        <v>42</v>
      </c>
      <c r="G22" s="66">
        <v>36</v>
      </c>
      <c r="H22" s="66">
        <v>31</v>
      </c>
      <c r="I22" s="66">
        <v>30</v>
      </c>
      <c r="J22" s="66">
        <v>27</v>
      </c>
      <c r="K22" s="66">
        <v>24</v>
      </c>
      <c r="L22" s="66">
        <v>22</v>
      </c>
      <c r="M22" s="66">
        <v>20</v>
      </c>
      <c r="N22" s="66">
        <v>38</v>
      </c>
      <c r="O22" s="66">
        <v>11</v>
      </c>
      <c r="P22" s="65"/>
      <c r="Q22" s="65"/>
      <c r="R22" s="107">
        <v>46</v>
      </c>
      <c r="S22" s="107">
        <v>47</v>
      </c>
      <c r="T22" s="107">
        <v>49</v>
      </c>
      <c r="U22" s="107">
        <v>50</v>
      </c>
      <c r="V22" s="107">
        <v>51</v>
      </c>
      <c r="W22" s="107">
        <v>48</v>
      </c>
    </row>
    <row r="23" spans="1:23" x14ac:dyDescent="0.35">
      <c r="A23" s="63">
        <v>22</v>
      </c>
      <c r="B23" s="64" t="s">
        <v>282</v>
      </c>
      <c r="C23" s="66">
        <v>5</v>
      </c>
      <c r="D23" s="66">
        <v>45</v>
      </c>
      <c r="E23" s="66">
        <v>43</v>
      </c>
      <c r="F23" s="66">
        <v>42</v>
      </c>
      <c r="G23" s="66">
        <v>41</v>
      </c>
      <c r="H23" s="66">
        <v>2</v>
      </c>
      <c r="I23" s="66">
        <v>4</v>
      </c>
      <c r="J23" s="66">
        <v>12</v>
      </c>
      <c r="K23" s="66">
        <v>23</v>
      </c>
      <c r="L23" s="66">
        <v>20</v>
      </c>
      <c r="M23" s="66">
        <v>7</v>
      </c>
      <c r="N23" s="66">
        <v>10</v>
      </c>
      <c r="O23" s="66">
        <v>18</v>
      </c>
      <c r="P23" s="66">
        <v>30</v>
      </c>
      <c r="Q23" s="66">
        <v>28</v>
      </c>
      <c r="R23" s="107">
        <v>46</v>
      </c>
      <c r="S23" s="107">
        <v>47</v>
      </c>
      <c r="T23" s="107">
        <v>49</v>
      </c>
      <c r="U23" s="107">
        <v>50</v>
      </c>
      <c r="V23" s="107">
        <v>51</v>
      </c>
      <c r="W23" s="107">
        <v>48</v>
      </c>
    </row>
    <row r="24" spans="1:23" x14ac:dyDescent="0.35">
      <c r="A24" s="63">
        <v>23</v>
      </c>
      <c r="B24" s="64" t="s">
        <v>283</v>
      </c>
      <c r="C24" s="66">
        <v>4</v>
      </c>
      <c r="D24" s="66">
        <v>5</v>
      </c>
      <c r="E24" s="66">
        <v>11</v>
      </c>
      <c r="F24" s="66">
        <v>12</v>
      </c>
      <c r="G24" s="66">
        <v>14</v>
      </c>
      <c r="H24" s="66">
        <v>30</v>
      </c>
      <c r="I24" s="66">
        <v>34</v>
      </c>
      <c r="J24" s="66">
        <v>36</v>
      </c>
      <c r="K24" s="66">
        <v>41</v>
      </c>
      <c r="L24" s="66">
        <v>45</v>
      </c>
      <c r="M24" s="66">
        <v>40</v>
      </c>
      <c r="N24" s="66">
        <v>38</v>
      </c>
      <c r="O24" s="66">
        <v>24</v>
      </c>
      <c r="P24" s="66">
        <v>23</v>
      </c>
      <c r="Q24" s="66">
        <v>22</v>
      </c>
      <c r="R24" s="107">
        <v>46</v>
      </c>
      <c r="S24" s="107">
        <v>47</v>
      </c>
      <c r="T24" s="107">
        <v>49</v>
      </c>
      <c r="U24" s="107">
        <v>50</v>
      </c>
      <c r="V24" s="107">
        <v>51</v>
      </c>
      <c r="W24" s="107">
        <v>48</v>
      </c>
    </row>
    <row r="25" spans="1:23" x14ac:dyDescent="0.35">
      <c r="A25" s="63">
        <v>24</v>
      </c>
      <c r="B25" s="64" t="s">
        <v>50</v>
      </c>
      <c r="C25" s="66">
        <v>4</v>
      </c>
      <c r="D25" s="66">
        <v>11</v>
      </c>
      <c r="E25" s="66">
        <v>12</v>
      </c>
      <c r="F25" s="66">
        <v>15</v>
      </c>
      <c r="G25" s="66">
        <v>16</v>
      </c>
      <c r="H25" s="66">
        <v>20</v>
      </c>
      <c r="I25" s="66">
        <v>22</v>
      </c>
      <c r="J25" s="66">
        <v>23</v>
      </c>
      <c r="K25" s="66">
        <v>24</v>
      </c>
      <c r="L25" s="66">
        <v>26</v>
      </c>
      <c r="M25" s="66">
        <v>32</v>
      </c>
      <c r="N25" s="66">
        <v>36</v>
      </c>
      <c r="O25" s="66">
        <v>38</v>
      </c>
      <c r="P25" s="66">
        <v>43</v>
      </c>
      <c r="Q25" s="66">
        <v>45</v>
      </c>
      <c r="R25" s="107">
        <v>46</v>
      </c>
      <c r="S25" s="107">
        <v>47</v>
      </c>
      <c r="T25" s="107">
        <v>49</v>
      </c>
      <c r="U25" s="107">
        <v>50</v>
      </c>
      <c r="V25" s="107">
        <v>51</v>
      </c>
      <c r="W25" s="107">
        <v>48</v>
      </c>
    </row>
    <row r="26" spans="1:23" x14ac:dyDescent="0.35">
      <c r="A26" s="63">
        <v>25</v>
      </c>
      <c r="B26" s="64" t="s">
        <v>284</v>
      </c>
      <c r="C26" s="66">
        <v>2</v>
      </c>
      <c r="D26" s="66">
        <v>5</v>
      </c>
      <c r="E26" s="66">
        <v>6</v>
      </c>
      <c r="F26" s="66">
        <v>10</v>
      </c>
      <c r="G26" s="66">
        <v>12</v>
      </c>
      <c r="H26" s="66">
        <v>18</v>
      </c>
      <c r="I26" s="66">
        <v>20</v>
      </c>
      <c r="J26" s="66">
        <v>23</v>
      </c>
      <c r="K26" s="66">
        <v>26</v>
      </c>
      <c r="L26" s="66">
        <v>27</v>
      </c>
      <c r="M26" s="66">
        <v>39</v>
      </c>
      <c r="N26" s="66">
        <v>7</v>
      </c>
      <c r="O26" s="66">
        <v>42</v>
      </c>
      <c r="P26" s="66">
        <v>16</v>
      </c>
      <c r="Q26" s="65"/>
      <c r="R26" s="107">
        <v>46</v>
      </c>
      <c r="S26" s="107">
        <v>47</v>
      </c>
      <c r="T26" s="107">
        <v>49</v>
      </c>
      <c r="U26" s="107">
        <v>50</v>
      </c>
      <c r="V26" s="107">
        <v>51</v>
      </c>
      <c r="W26" s="107">
        <v>48</v>
      </c>
    </row>
    <row r="27" spans="1:23" x14ac:dyDescent="0.35">
      <c r="A27" s="63">
        <v>26</v>
      </c>
      <c r="B27" s="64" t="s">
        <v>285</v>
      </c>
      <c r="C27" s="66">
        <v>1</v>
      </c>
      <c r="D27" s="67">
        <v>2</v>
      </c>
      <c r="E27" s="66">
        <v>45</v>
      </c>
      <c r="F27" s="66">
        <v>43</v>
      </c>
      <c r="G27" s="66">
        <v>35</v>
      </c>
      <c r="H27" s="66">
        <v>31</v>
      </c>
      <c r="I27" s="66">
        <v>34</v>
      </c>
      <c r="J27" s="66">
        <v>10</v>
      </c>
      <c r="K27" s="66">
        <v>14</v>
      </c>
      <c r="L27" s="66">
        <v>15</v>
      </c>
      <c r="M27" s="66">
        <v>20</v>
      </c>
      <c r="N27" s="66">
        <v>22</v>
      </c>
      <c r="O27" s="66">
        <v>23</v>
      </c>
      <c r="P27" s="65">
        <v>4</v>
      </c>
      <c r="Q27" s="65"/>
      <c r="R27" s="107">
        <v>46</v>
      </c>
      <c r="S27" s="107">
        <v>47</v>
      </c>
      <c r="T27" s="107">
        <v>49</v>
      </c>
      <c r="U27" s="107">
        <v>50</v>
      </c>
      <c r="V27" s="107">
        <v>51</v>
      </c>
      <c r="W27" s="107">
        <v>48</v>
      </c>
    </row>
    <row r="28" spans="1:23" x14ac:dyDescent="0.35">
      <c r="A28" s="63">
        <v>27</v>
      </c>
      <c r="B28" s="64" t="s">
        <v>286</v>
      </c>
      <c r="C28" s="66">
        <v>3</v>
      </c>
      <c r="D28" s="66">
        <v>2</v>
      </c>
      <c r="E28" s="66">
        <v>5</v>
      </c>
      <c r="F28" s="66">
        <v>10</v>
      </c>
      <c r="G28" s="66">
        <v>11</v>
      </c>
      <c r="H28" s="66">
        <v>14</v>
      </c>
      <c r="I28" s="66">
        <v>16</v>
      </c>
      <c r="J28" s="66">
        <v>22</v>
      </c>
      <c r="K28" s="66">
        <v>34</v>
      </c>
      <c r="L28" s="66">
        <v>37</v>
      </c>
      <c r="M28" s="66">
        <v>38</v>
      </c>
      <c r="N28" s="66">
        <v>39</v>
      </c>
      <c r="O28" s="66">
        <v>45</v>
      </c>
      <c r="P28" s="65"/>
      <c r="Q28" s="65"/>
      <c r="R28" s="107">
        <v>46</v>
      </c>
      <c r="S28" s="107">
        <v>47</v>
      </c>
      <c r="T28" s="107">
        <v>49</v>
      </c>
      <c r="U28" s="107">
        <v>50</v>
      </c>
      <c r="V28" s="107">
        <v>51</v>
      </c>
      <c r="W28" s="107">
        <v>48</v>
      </c>
    </row>
    <row r="29" spans="1:23" x14ac:dyDescent="0.35">
      <c r="A29" s="63">
        <v>28</v>
      </c>
      <c r="B29" s="64" t="s">
        <v>287</v>
      </c>
      <c r="C29" s="66">
        <v>1</v>
      </c>
      <c r="D29" s="66">
        <v>4</v>
      </c>
      <c r="E29" s="66">
        <v>5</v>
      </c>
      <c r="F29" s="66">
        <v>7</v>
      </c>
      <c r="G29" s="66">
        <v>14</v>
      </c>
      <c r="H29" s="66">
        <v>15</v>
      </c>
      <c r="I29" s="66">
        <v>16</v>
      </c>
      <c r="J29" s="66">
        <v>20</v>
      </c>
      <c r="K29" s="66">
        <v>23</v>
      </c>
      <c r="L29" s="66">
        <v>27</v>
      </c>
      <c r="M29" s="66">
        <v>30</v>
      </c>
      <c r="N29" s="66">
        <v>35</v>
      </c>
      <c r="O29" s="66">
        <v>39</v>
      </c>
      <c r="P29" s="66">
        <v>45</v>
      </c>
      <c r="Q29" s="65"/>
      <c r="R29" s="107">
        <v>46</v>
      </c>
      <c r="S29" s="107">
        <v>47</v>
      </c>
      <c r="T29" s="107">
        <v>49</v>
      </c>
      <c r="U29" s="107">
        <v>50</v>
      </c>
      <c r="V29" s="107">
        <v>51</v>
      </c>
      <c r="W29" s="107">
        <v>48</v>
      </c>
    </row>
    <row r="30" spans="1:23" x14ac:dyDescent="0.35">
      <c r="A30" s="63">
        <v>29</v>
      </c>
      <c r="B30" s="64" t="s">
        <v>288</v>
      </c>
      <c r="C30" s="66">
        <v>3</v>
      </c>
      <c r="D30" s="66">
        <v>4</v>
      </c>
      <c r="E30" s="66">
        <v>5</v>
      </c>
      <c r="F30" s="66">
        <v>12</v>
      </c>
      <c r="G30" s="66">
        <v>15</v>
      </c>
      <c r="H30" s="66">
        <v>18</v>
      </c>
      <c r="I30" s="66">
        <v>27</v>
      </c>
      <c r="J30" s="66">
        <v>24</v>
      </c>
      <c r="K30" s="66">
        <v>38</v>
      </c>
      <c r="L30" s="66">
        <v>43</v>
      </c>
      <c r="M30" s="66">
        <v>45</v>
      </c>
      <c r="N30" s="66">
        <v>36</v>
      </c>
      <c r="O30" s="66">
        <v>26</v>
      </c>
      <c r="P30" s="66">
        <v>34</v>
      </c>
      <c r="Q30" s="65"/>
      <c r="R30" s="107">
        <v>46</v>
      </c>
      <c r="S30" s="107">
        <v>47</v>
      </c>
      <c r="T30" s="107">
        <v>49</v>
      </c>
      <c r="U30" s="107">
        <v>50</v>
      </c>
      <c r="V30" s="107">
        <v>51</v>
      </c>
      <c r="W30" s="107">
        <v>48</v>
      </c>
    </row>
    <row r="31" spans="1:23" x14ac:dyDescent="0.35">
      <c r="A31" s="63">
        <v>30</v>
      </c>
      <c r="B31" s="64" t="s">
        <v>289</v>
      </c>
      <c r="C31" s="66">
        <v>4</v>
      </c>
      <c r="D31" s="66">
        <v>5</v>
      </c>
      <c r="E31" s="66">
        <v>3</v>
      </c>
      <c r="F31" s="66">
        <v>10</v>
      </c>
      <c r="G31" s="66">
        <v>17</v>
      </c>
      <c r="H31" s="66">
        <v>23</v>
      </c>
      <c r="I31" s="66">
        <v>27</v>
      </c>
      <c r="J31" s="66">
        <v>29</v>
      </c>
      <c r="K31" s="66">
        <v>32</v>
      </c>
      <c r="L31" s="66">
        <v>34</v>
      </c>
      <c r="M31" s="66">
        <v>38</v>
      </c>
      <c r="N31" s="66">
        <v>45</v>
      </c>
      <c r="O31" s="66">
        <v>43</v>
      </c>
      <c r="P31" s="66">
        <v>41</v>
      </c>
      <c r="Q31" s="66">
        <v>39</v>
      </c>
      <c r="R31" s="107">
        <v>46</v>
      </c>
      <c r="S31" s="107">
        <v>47</v>
      </c>
      <c r="T31" s="107">
        <v>49</v>
      </c>
      <c r="U31" s="107">
        <v>50</v>
      </c>
      <c r="V31" s="107">
        <v>51</v>
      </c>
      <c r="W31" s="107">
        <v>48</v>
      </c>
    </row>
    <row r="32" spans="1:23" x14ac:dyDescent="0.35">
      <c r="A32" s="63">
        <v>31</v>
      </c>
      <c r="B32" s="64" t="s">
        <v>290</v>
      </c>
      <c r="C32" s="66">
        <v>3</v>
      </c>
      <c r="D32" s="66">
        <v>5</v>
      </c>
      <c r="E32" s="66">
        <v>10</v>
      </c>
      <c r="F32" s="66">
        <v>12</v>
      </c>
      <c r="G32" s="66">
        <v>15</v>
      </c>
      <c r="H32" s="66">
        <v>17</v>
      </c>
      <c r="I32" s="66">
        <v>20</v>
      </c>
      <c r="J32" s="66">
        <v>22</v>
      </c>
      <c r="K32" s="66">
        <v>23</v>
      </c>
      <c r="L32" s="66">
        <v>24</v>
      </c>
      <c r="M32" s="66">
        <v>30</v>
      </c>
      <c r="N32" s="66">
        <v>34</v>
      </c>
      <c r="O32" s="66">
        <v>42</v>
      </c>
      <c r="P32" s="66">
        <v>45</v>
      </c>
      <c r="Q32" s="66">
        <v>35</v>
      </c>
      <c r="R32" s="107">
        <v>46</v>
      </c>
      <c r="S32" s="107">
        <v>47</v>
      </c>
      <c r="T32" s="107">
        <v>49</v>
      </c>
      <c r="U32" s="107">
        <v>50</v>
      </c>
      <c r="V32" s="107">
        <v>51</v>
      </c>
      <c r="W32" s="107">
        <v>48</v>
      </c>
    </row>
    <row r="33" spans="1:23" x14ac:dyDescent="0.35">
      <c r="A33" s="63">
        <v>32</v>
      </c>
      <c r="B33" s="64" t="s">
        <v>291</v>
      </c>
      <c r="C33" s="66">
        <v>2</v>
      </c>
      <c r="D33" s="66">
        <v>4</v>
      </c>
      <c r="E33" s="66">
        <v>5</v>
      </c>
      <c r="F33" s="66">
        <v>18</v>
      </c>
      <c r="G33" s="66">
        <v>41</v>
      </c>
      <c r="H33" s="66">
        <v>42</v>
      </c>
      <c r="I33" s="66">
        <v>45</v>
      </c>
      <c r="J33" s="66">
        <v>6</v>
      </c>
      <c r="K33" s="66">
        <v>7</v>
      </c>
      <c r="L33" s="66">
        <v>10</v>
      </c>
      <c r="M33" s="66">
        <v>16</v>
      </c>
      <c r="N33" s="66">
        <v>26</v>
      </c>
      <c r="O33" s="66">
        <v>12</v>
      </c>
      <c r="P33" s="66">
        <v>27</v>
      </c>
      <c r="Q33" s="65"/>
      <c r="R33" s="107">
        <v>46</v>
      </c>
      <c r="S33" s="107">
        <v>47</v>
      </c>
      <c r="T33" s="107">
        <v>49</v>
      </c>
      <c r="U33" s="107">
        <v>50</v>
      </c>
      <c r="V33" s="107">
        <v>51</v>
      </c>
      <c r="W33" s="107">
        <v>48</v>
      </c>
    </row>
    <row r="34" spans="1:23" x14ac:dyDescent="0.35">
      <c r="A34" s="63">
        <v>33</v>
      </c>
      <c r="B34" s="64" t="s">
        <v>292</v>
      </c>
      <c r="C34" s="66">
        <v>3</v>
      </c>
      <c r="D34" s="66">
        <v>16</v>
      </c>
      <c r="E34" s="66">
        <v>20</v>
      </c>
      <c r="F34" s="66">
        <v>23</v>
      </c>
      <c r="G34" s="66">
        <v>22</v>
      </c>
      <c r="H34" s="66">
        <v>27</v>
      </c>
      <c r="I34" s="66">
        <v>31</v>
      </c>
      <c r="J34" s="66">
        <v>32</v>
      </c>
      <c r="K34" s="66">
        <v>34</v>
      </c>
      <c r="L34" s="66">
        <v>40</v>
      </c>
      <c r="M34" s="66">
        <v>45</v>
      </c>
      <c r="N34" s="65"/>
      <c r="O34" s="65"/>
      <c r="P34" s="65"/>
      <c r="Q34" s="65"/>
      <c r="R34" s="107">
        <v>46</v>
      </c>
      <c r="S34" s="107">
        <v>47</v>
      </c>
      <c r="T34" s="107">
        <v>49</v>
      </c>
      <c r="U34" s="107">
        <v>50</v>
      </c>
      <c r="V34" s="107">
        <v>51</v>
      </c>
      <c r="W34" s="107">
        <v>48</v>
      </c>
    </row>
    <row r="35" spans="1:23" x14ac:dyDescent="0.35">
      <c r="A35" s="63">
        <v>34</v>
      </c>
      <c r="B35" s="64" t="s">
        <v>293</v>
      </c>
      <c r="C35" s="66">
        <v>12</v>
      </c>
      <c r="D35" s="66">
        <v>14</v>
      </c>
      <c r="E35" s="66">
        <v>10</v>
      </c>
      <c r="F35" s="66">
        <v>2</v>
      </c>
      <c r="G35" s="66">
        <v>23</v>
      </c>
      <c r="H35" s="66">
        <v>27</v>
      </c>
      <c r="I35" s="66">
        <v>34</v>
      </c>
      <c r="J35" s="66">
        <v>36</v>
      </c>
      <c r="K35" s="66">
        <v>43</v>
      </c>
      <c r="L35" s="66">
        <v>45</v>
      </c>
      <c r="M35" s="66">
        <v>40</v>
      </c>
      <c r="N35" s="66">
        <v>35</v>
      </c>
      <c r="O35" s="66">
        <v>31</v>
      </c>
      <c r="P35" s="66">
        <v>4</v>
      </c>
      <c r="Q35" s="66">
        <v>15</v>
      </c>
      <c r="R35" s="107">
        <v>46</v>
      </c>
      <c r="S35" s="107">
        <v>47</v>
      </c>
      <c r="T35" s="107">
        <v>49</v>
      </c>
      <c r="U35" s="107">
        <v>50</v>
      </c>
      <c r="V35" s="107">
        <v>51</v>
      </c>
      <c r="W35" s="107">
        <v>48</v>
      </c>
    </row>
    <row r="36" spans="1:23" x14ac:dyDescent="0.35">
      <c r="A36" s="63">
        <v>35</v>
      </c>
      <c r="B36" s="64" t="s">
        <v>294</v>
      </c>
      <c r="C36" s="66">
        <v>1</v>
      </c>
      <c r="D36" s="66">
        <v>3</v>
      </c>
      <c r="E36" s="66">
        <v>5</v>
      </c>
      <c r="F36" s="66">
        <v>40</v>
      </c>
      <c r="G36" s="66">
        <v>39</v>
      </c>
      <c r="H36" s="66">
        <v>38</v>
      </c>
      <c r="I36" s="66">
        <v>35</v>
      </c>
      <c r="J36" s="66">
        <v>34</v>
      </c>
      <c r="K36" s="66">
        <v>29</v>
      </c>
      <c r="L36" s="66">
        <v>28</v>
      </c>
      <c r="M36" s="66">
        <v>27</v>
      </c>
      <c r="N36" s="66">
        <v>7</v>
      </c>
      <c r="O36" s="66">
        <v>14</v>
      </c>
      <c r="P36" s="66">
        <v>22</v>
      </c>
      <c r="Q36" s="65"/>
      <c r="R36" s="107">
        <v>46</v>
      </c>
      <c r="S36" s="107">
        <v>47</v>
      </c>
      <c r="T36" s="107">
        <v>49</v>
      </c>
      <c r="U36" s="107">
        <v>50</v>
      </c>
      <c r="V36" s="107">
        <v>51</v>
      </c>
      <c r="W36" s="107">
        <v>48</v>
      </c>
    </row>
    <row r="37" spans="1:23" x14ac:dyDescent="0.35">
      <c r="A37" s="63">
        <v>36</v>
      </c>
      <c r="B37" s="64" t="s">
        <v>295</v>
      </c>
      <c r="C37" s="66">
        <v>5</v>
      </c>
      <c r="D37" s="66">
        <v>12</v>
      </c>
      <c r="E37" s="66">
        <v>19</v>
      </c>
      <c r="F37" s="66">
        <v>28</v>
      </c>
      <c r="G37" s="66">
        <v>30</v>
      </c>
      <c r="H37" s="66">
        <v>38</v>
      </c>
      <c r="I37" s="66">
        <v>42</v>
      </c>
      <c r="J37" s="66">
        <v>45</v>
      </c>
      <c r="K37" s="66">
        <v>39</v>
      </c>
      <c r="L37" s="66">
        <v>36</v>
      </c>
      <c r="M37" s="66">
        <v>33</v>
      </c>
      <c r="N37" s="66">
        <v>27</v>
      </c>
      <c r="O37" s="66">
        <v>26</v>
      </c>
      <c r="P37" s="66">
        <v>20</v>
      </c>
      <c r="Q37" s="66">
        <v>15</v>
      </c>
      <c r="R37" s="107">
        <v>46</v>
      </c>
      <c r="S37" s="107">
        <v>47</v>
      </c>
      <c r="T37" s="107">
        <v>49</v>
      </c>
      <c r="U37" s="107">
        <v>50</v>
      </c>
      <c r="V37" s="107">
        <v>51</v>
      </c>
      <c r="W37" s="107">
        <v>48</v>
      </c>
    </row>
    <row r="38" spans="1:23" x14ac:dyDescent="0.35">
      <c r="A38" s="63">
        <v>37</v>
      </c>
      <c r="B38" s="64" t="s">
        <v>296</v>
      </c>
      <c r="C38" s="66">
        <v>5</v>
      </c>
      <c r="D38" s="66">
        <v>10</v>
      </c>
      <c r="E38" s="66">
        <v>11</v>
      </c>
      <c r="F38" s="66">
        <v>12</v>
      </c>
      <c r="G38" s="66">
        <v>14</v>
      </c>
      <c r="H38" s="66">
        <v>22</v>
      </c>
      <c r="I38" s="66">
        <v>23</v>
      </c>
      <c r="J38" s="66">
        <v>27</v>
      </c>
      <c r="K38" s="66">
        <v>28</v>
      </c>
      <c r="L38" s="66">
        <v>31</v>
      </c>
      <c r="M38" s="66">
        <v>34</v>
      </c>
      <c r="N38" s="66">
        <v>36</v>
      </c>
      <c r="O38" s="66">
        <v>39</v>
      </c>
      <c r="P38" s="66">
        <v>42</v>
      </c>
      <c r="Q38" s="66">
        <v>45</v>
      </c>
      <c r="R38" s="107">
        <v>46</v>
      </c>
      <c r="S38" s="107">
        <v>47</v>
      </c>
      <c r="T38" s="107">
        <v>49</v>
      </c>
      <c r="U38" s="107">
        <v>50</v>
      </c>
      <c r="V38" s="107">
        <v>51</v>
      </c>
      <c r="W38" s="107">
        <v>48</v>
      </c>
    </row>
    <row r="39" spans="1:23" x14ac:dyDescent="0.35">
      <c r="A39" s="63">
        <v>38</v>
      </c>
      <c r="B39" s="64" t="s">
        <v>297</v>
      </c>
      <c r="C39" s="66">
        <v>2</v>
      </c>
      <c r="D39" s="66">
        <v>3</v>
      </c>
      <c r="E39" s="66">
        <v>10</v>
      </c>
      <c r="F39" s="66">
        <v>11</v>
      </c>
      <c r="G39" s="66">
        <v>20</v>
      </c>
      <c r="H39" s="66">
        <v>36</v>
      </c>
      <c r="I39" s="66">
        <v>42</v>
      </c>
      <c r="J39" s="66">
        <v>45</v>
      </c>
      <c r="K39" s="66">
        <v>44</v>
      </c>
      <c r="L39" s="66">
        <v>38</v>
      </c>
      <c r="M39" s="66">
        <v>30</v>
      </c>
      <c r="N39" s="66">
        <v>25</v>
      </c>
      <c r="O39" s="66">
        <v>22</v>
      </c>
      <c r="P39" s="66">
        <v>15</v>
      </c>
      <c r="Q39" s="66">
        <v>16</v>
      </c>
      <c r="R39" s="107">
        <v>46</v>
      </c>
      <c r="S39" s="107">
        <v>47</v>
      </c>
      <c r="T39" s="107">
        <v>49</v>
      </c>
      <c r="U39" s="107">
        <v>50</v>
      </c>
      <c r="V39" s="107">
        <v>51</v>
      </c>
      <c r="W39" s="107">
        <v>48</v>
      </c>
    </row>
    <row r="40" spans="1:23" x14ac:dyDescent="0.35">
      <c r="A40" s="63">
        <v>39</v>
      </c>
      <c r="B40" s="64" t="s">
        <v>298</v>
      </c>
      <c r="C40" s="66">
        <v>3</v>
      </c>
      <c r="D40" s="66">
        <v>1</v>
      </c>
      <c r="E40" s="66">
        <v>5</v>
      </c>
      <c r="F40" s="66">
        <v>10</v>
      </c>
      <c r="G40" s="66">
        <v>17</v>
      </c>
      <c r="H40" s="66">
        <v>19</v>
      </c>
      <c r="I40" s="66">
        <v>20</v>
      </c>
      <c r="J40" s="66">
        <v>25</v>
      </c>
      <c r="K40" s="66">
        <v>26</v>
      </c>
      <c r="L40" s="66">
        <v>29</v>
      </c>
      <c r="M40" s="66">
        <v>30</v>
      </c>
      <c r="N40" s="66">
        <v>38</v>
      </c>
      <c r="O40" s="66">
        <v>42</v>
      </c>
      <c r="P40" s="66">
        <v>6</v>
      </c>
      <c r="Q40" s="65"/>
      <c r="R40" s="107">
        <v>46</v>
      </c>
      <c r="S40" s="107">
        <v>47</v>
      </c>
      <c r="T40" s="107">
        <v>49</v>
      </c>
      <c r="U40" s="107">
        <v>50</v>
      </c>
      <c r="V40" s="107">
        <v>51</v>
      </c>
      <c r="W40" s="107">
        <v>48</v>
      </c>
    </row>
    <row r="41" spans="1:23" x14ac:dyDescent="0.35">
      <c r="A41" s="63">
        <v>40</v>
      </c>
      <c r="B41" s="64" t="s">
        <v>299</v>
      </c>
      <c r="C41" s="66">
        <v>23</v>
      </c>
      <c r="D41" s="66">
        <v>24</v>
      </c>
      <c r="E41" s="66">
        <v>32</v>
      </c>
      <c r="F41" s="66">
        <v>34</v>
      </c>
      <c r="G41" s="66">
        <v>36</v>
      </c>
      <c r="H41" s="66">
        <v>40</v>
      </c>
      <c r="I41" s="66">
        <v>37</v>
      </c>
      <c r="J41" s="66">
        <v>38</v>
      </c>
      <c r="K41" s="66">
        <v>45</v>
      </c>
      <c r="L41" s="65"/>
      <c r="M41" s="65"/>
      <c r="N41" s="65"/>
      <c r="O41" s="65"/>
      <c r="P41" s="65"/>
      <c r="Q41" s="65"/>
      <c r="R41" s="107">
        <v>46</v>
      </c>
      <c r="S41" s="107">
        <v>47</v>
      </c>
      <c r="T41" s="107">
        <v>49</v>
      </c>
      <c r="U41" s="107">
        <v>50</v>
      </c>
      <c r="V41" s="107">
        <v>51</v>
      </c>
      <c r="W41" s="107">
        <v>48</v>
      </c>
    </row>
    <row r="42" spans="1:23" x14ac:dyDescent="0.35">
      <c r="A42" s="63">
        <v>41</v>
      </c>
      <c r="B42" s="64" t="s">
        <v>300</v>
      </c>
      <c r="C42" s="66">
        <v>4</v>
      </c>
      <c r="D42" s="66">
        <v>15</v>
      </c>
      <c r="E42" s="66">
        <v>1</v>
      </c>
      <c r="F42" s="66">
        <v>24</v>
      </c>
      <c r="G42" s="66">
        <v>25</v>
      </c>
      <c r="H42" s="66">
        <v>31</v>
      </c>
      <c r="I42" s="66">
        <v>41</v>
      </c>
      <c r="J42" s="66">
        <v>44</v>
      </c>
      <c r="K42" s="66">
        <v>35</v>
      </c>
      <c r="L42" s="66">
        <v>37</v>
      </c>
      <c r="M42" s="66">
        <v>12</v>
      </c>
      <c r="N42" s="66">
        <v>10</v>
      </c>
      <c r="O42" s="66">
        <v>7</v>
      </c>
      <c r="P42" s="66">
        <v>26</v>
      </c>
      <c r="Q42" s="65"/>
      <c r="R42" s="107">
        <v>46</v>
      </c>
      <c r="S42" s="107">
        <v>47</v>
      </c>
      <c r="T42" s="107">
        <v>49</v>
      </c>
      <c r="U42" s="107">
        <v>50</v>
      </c>
      <c r="V42" s="107">
        <v>51</v>
      </c>
      <c r="W42" s="107">
        <v>48</v>
      </c>
    </row>
    <row r="43" spans="1:23" x14ac:dyDescent="0.35">
      <c r="A43" s="63">
        <v>42</v>
      </c>
      <c r="B43" s="64" t="s">
        <v>301</v>
      </c>
      <c r="C43" s="66">
        <v>4</v>
      </c>
      <c r="D43" s="66">
        <v>5</v>
      </c>
      <c r="E43" s="66">
        <v>45</v>
      </c>
      <c r="F43" s="66">
        <v>42</v>
      </c>
      <c r="G43" s="66">
        <v>37</v>
      </c>
      <c r="H43" s="66">
        <v>38</v>
      </c>
      <c r="I43" s="66">
        <v>30</v>
      </c>
      <c r="J43" s="66">
        <v>31</v>
      </c>
      <c r="K43" s="66">
        <v>23</v>
      </c>
      <c r="L43" s="66">
        <v>19</v>
      </c>
      <c r="M43" s="66">
        <v>15</v>
      </c>
      <c r="N43" s="66">
        <v>14</v>
      </c>
      <c r="O43" s="66">
        <v>11</v>
      </c>
      <c r="P43" s="65"/>
      <c r="Q43" s="65"/>
      <c r="R43" s="107">
        <v>46</v>
      </c>
      <c r="S43" s="107">
        <v>47</v>
      </c>
      <c r="T43" s="107">
        <v>49</v>
      </c>
      <c r="U43" s="107">
        <v>50</v>
      </c>
      <c r="V43" s="107">
        <v>51</v>
      </c>
      <c r="W43" s="107">
        <v>48</v>
      </c>
    </row>
    <row r="44" spans="1:23" x14ac:dyDescent="0.35">
      <c r="A44" s="63">
        <v>43</v>
      </c>
      <c r="B44" s="64" t="s">
        <v>302</v>
      </c>
      <c r="C44" s="66">
        <v>25</v>
      </c>
      <c r="D44" s="66">
        <v>27</v>
      </c>
      <c r="E44" s="66">
        <v>28</v>
      </c>
      <c r="F44" s="66">
        <v>34</v>
      </c>
      <c r="G44" s="66">
        <v>36</v>
      </c>
      <c r="H44" s="66">
        <v>39</v>
      </c>
      <c r="I44" s="66">
        <v>1</v>
      </c>
      <c r="J44" s="66">
        <v>2</v>
      </c>
      <c r="K44" s="66">
        <v>3</v>
      </c>
      <c r="L44" s="66">
        <v>23</v>
      </c>
      <c r="M44" s="66">
        <v>19</v>
      </c>
      <c r="N44" s="66">
        <v>12</v>
      </c>
      <c r="O44" s="66">
        <v>14</v>
      </c>
      <c r="P44" s="66">
        <v>45</v>
      </c>
      <c r="Q44" s="66">
        <v>10</v>
      </c>
      <c r="R44" s="107">
        <v>46</v>
      </c>
      <c r="S44" s="107">
        <v>47</v>
      </c>
      <c r="T44" s="107">
        <v>49</v>
      </c>
      <c r="U44" s="107">
        <v>50</v>
      </c>
      <c r="V44" s="107">
        <v>51</v>
      </c>
      <c r="W44" s="107">
        <v>48</v>
      </c>
    </row>
    <row r="45" spans="1:23" x14ac:dyDescent="0.35">
      <c r="A45" s="63">
        <v>44</v>
      </c>
      <c r="B45" s="64" t="s">
        <v>303</v>
      </c>
      <c r="C45" s="66">
        <v>45</v>
      </c>
      <c r="D45" s="66">
        <v>3</v>
      </c>
      <c r="E45" s="66">
        <v>4</v>
      </c>
      <c r="F45" s="66">
        <v>2</v>
      </c>
      <c r="G45" s="66">
        <v>7</v>
      </c>
      <c r="H45" s="66">
        <v>10</v>
      </c>
      <c r="I45" s="66">
        <v>12</v>
      </c>
      <c r="J45" s="66">
        <v>16</v>
      </c>
      <c r="K45" s="66">
        <v>19</v>
      </c>
      <c r="L45" s="66">
        <v>20</v>
      </c>
      <c r="M45" s="66">
        <v>27</v>
      </c>
      <c r="N45" s="66">
        <v>26</v>
      </c>
      <c r="O45" s="66">
        <v>29</v>
      </c>
      <c r="P45" s="66">
        <v>33</v>
      </c>
      <c r="Q45" s="66">
        <v>42</v>
      </c>
      <c r="R45" s="107">
        <v>46</v>
      </c>
      <c r="S45" s="107">
        <v>47</v>
      </c>
      <c r="T45" s="107">
        <v>49</v>
      </c>
      <c r="U45" s="107">
        <v>50</v>
      </c>
      <c r="V45" s="107">
        <v>51</v>
      </c>
      <c r="W45" s="107">
        <v>48</v>
      </c>
    </row>
    <row r="46" spans="1:23" x14ac:dyDescent="0.35">
      <c r="A46" s="63">
        <v>45</v>
      </c>
      <c r="B46" s="64" t="s">
        <v>304</v>
      </c>
      <c r="C46" s="66">
        <v>45</v>
      </c>
      <c r="D46" s="66">
        <v>43</v>
      </c>
      <c r="E46" s="66">
        <v>3</v>
      </c>
      <c r="F46" s="66">
        <v>4</v>
      </c>
      <c r="G46" s="66">
        <v>10</v>
      </c>
      <c r="H46" s="66">
        <v>14</v>
      </c>
      <c r="I46" s="66">
        <v>16</v>
      </c>
      <c r="J46" s="66">
        <v>17</v>
      </c>
      <c r="K46" s="66">
        <v>20</v>
      </c>
      <c r="L46" s="66">
        <v>23</v>
      </c>
      <c r="M46" s="66">
        <v>27</v>
      </c>
      <c r="N46" s="66">
        <v>31</v>
      </c>
      <c r="O46" s="66">
        <v>32</v>
      </c>
      <c r="P46" s="66">
        <v>34</v>
      </c>
      <c r="Q46" s="66">
        <v>36</v>
      </c>
      <c r="R46" s="107">
        <v>46</v>
      </c>
      <c r="S46" s="107">
        <v>47</v>
      </c>
      <c r="T46" s="107">
        <v>49</v>
      </c>
      <c r="U46" s="107">
        <v>50</v>
      </c>
      <c r="V46" s="107">
        <v>51</v>
      </c>
      <c r="W46" s="107">
        <v>48</v>
      </c>
    </row>
    <row r="47" spans="1:23" x14ac:dyDescent="0.35">
      <c r="A47" s="63">
        <v>46</v>
      </c>
      <c r="B47" s="64" t="s">
        <v>305</v>
      </c>
      <c r="C47" s="66">
        <v>5</v>
      </c>
      <c r="D47" s="66">
        <v>11</v>
      </c>
      <c r="E47" s="66">
        <v>16</v>
      </c>
      <c r="F47" s="66">
        <v>20</v>
      </c>
      <c r="G47" s="66">
        <v>22</v>
      </c>
      <c r="H47" s="66">
        <v>26</v>
      </c>
      <c r="I47" s="66">
        <v>30</v>
      </c>
      <c r="J47" s="66">
        <v>33</v>
      </c>
      <c r="K47" s="66">
        <v>43</v>
      </c>
      <c r="L47" s="66">
        <v>45</v>
      </c>
      <c r="M47" s="66">
        <v>12</v>
      </c>
      <c r="N47" s="66">
        <v>23</v>
      </c>
      <c r="O47" s="66">
        <v>27</v>
      </c>
      <c r="P47" s="66">
        <v>29</v>
      </c>
      <c r="Q47" s="66">
        <v>39</v>
      </c>
      <c r="R47" s="107">
        <v>46</v>
      </c>
      <c r="S47" s="107">
        <v>47</v>
      </c>
      <c r="T47" s="107">
        <v>49</v>
      </c>
      <c r="U47" s="107">
        <v>50</v>
      </c>
      <c r="V47" s="107">
        <v>51</v>
      </c>
      <c r="W47" s="107">
        <v>48</v>
      </c>
    </row>
    <row r="48" spans="1:23" x14ac:dyDescent="0.35">
      <c r="A48" s="63">
        <v>47</v>
      </c>
      <c r="B48" s="64" t="s">
        <v>306</v>
      </c>
      <c r="C48" s="66">
        <v>2</v>
      </c>
      <c r="D48" s="66">
        <v>14</v>
      </c>
      <c r="E48" s="66">
        <v>16</v>
      </c>
      <c r="F48" s="66">
        <v>20</v>
      </c>
      <c r="G48" s="66">
        <v>23</v>
      </c>
      <c r="H48" s="66">
        <v>27</v>
      </c>
      <c r="I48" s="66">
        <v>29</v>
      </c>
      <c r="J48" s="66">
        <v>30</v>
      </c>
      <c r="K48" s="66">
        <v>31</v>
      </c>
      <c r="L48" s="66">
        <v>34</v>
      </c>
      <c r="M48" s="65"/>
      <c r="N48" s="65"/>
      <c r="O48" s="65"/>
      <c r="P48" s="65"/>
      <c r="Q48" s="65"/>
      <c r="R48" s="107">
        <v>46</v>
      </c>
      <c r="S48" s="107">
        <v>47</v>
      </c>
      <c r="T48" s="107">
        <v>49</v>
      </c>
      <c r="U48" s="107">
        <v>50</v>
      </c>
      <c r="V48" s="107">
        <v>51</v>
      </c>
      <c r="W48" s="107">
        <v>48</v>
      </c>
    </row>
    <row r="49" spans="1:23" x14ac:dyDescent="0.35">
      <c r="A49" s="63">
        <v>48</v>
      </c>
      <c r="B49" s="64" t="s">
        <v>307</v>
      </c>
      <c r="C49" s="66">
        <v>4</v>
      </c>
      <c r="D49" s="66">
        <v>12</v>
      </c>
      <c r="E49" s="66">
        <v>17</v>
      </c>
      <c r="F49" s="66">
        <v>19</v>
      </c>
      <c r="G49" s="66">
        <v>23</v>
      </c>
      <c r="H49" s="66">
        <v>25</v>
      </c>
      <c r="I49" s="66">
        <v>27</v>
      </c>
      <c r="J49" s="66">
        <v>36</v>
      </c>
      <c r="K49" s="66">
        <v>38</v>
      </c>
      <c r="L49" s="66">
        <v>42</v>
      </c>
      <c r="M49" s="66">
        <v>45</v>
      </c>
      <c r="N49" s="66">
        <v>10</v>
      </c>
      <c r="O49" s="66">
        <v>1</v>
      </c>
      <c r="P49" s="66">
        <v>15</v>
      </c>
      <c r="Q49" s="66">
        <v>34</v>
      </c>
      <c r="R49" s="107">
        <v>46</v>
      </c>
      <c r="S49" s="107">
        <v>47</v>
      </c>
      <c r="T49" s="107">
        <v>49</v>
      </c>
      <c r="U49" s="107">
        <v>50</v>
      </c>
      <c r="V49" s="107">
        <v>51</v>
      </c>
      <c r="W49" s="107">
        <v>48</v>
      </c>
    </row>
    <row r="50" spans="1:23" x14ac:dyDescent="0.35">
      <c r="A50" s="63">
        <v>49</v>
      </c>
      <c r="B50" s="64" t="s">
        <v>308</v>
      </c>
      <c r="C50" s="66">
        <v>11</v>
      </c>
      <c r="D50" s="66">
        <v>14</v>
      </c>
      <c r="E50" s="66">
        <v>22</v>
      </c>
      <c r="F50" s="66">
        <v>23</v>
      </c>
      <c r="G50" s="66">
        <v>27</v>
      </c>
      <c r="H50" s="66">
        <v>30</v>
      </c>
      <c r="I50" s="66">
        <v>31</v>
      </c>
      <c r="J50" s="66">
        <v>33</v>
      </c>
      <c r="K50" s="66">
        <v>36</v>
      </c>
      <c r="L50" s="66">
        <v>37</v>
      </c>
      <c r="M50" s="66">
        <v>40</v>
      </c>
      <c r="N50" s="66">
        <v>44</v>
      </c>
      <c r="O50" s="66">
        <v>45</v>
      </c>
      <c r="P50" s="66">
        <v>4</v>
      </c>
      <c r="Q50" s="65"/>
      <c r="R50" s="107">
        <v>46</v>
      </c>
      <c r="S50" s="107">
        <v>47</v>
      </c>
      <c r="T50" s="107">
        <v>49</v>
      </c>
      <c r="U50" s="107">
        <v>50</v>
      </c>
      <c r="V50" s="107">
        <v>51</v>
      </c>
      <c r="W50" s="107">
        <v>48</v>
      </c>
    </row>
    <row r="51" spans="1:23" x14ac:dyDescent="0.35">
      <c r="A51" s="63">
        <v>50</v>
      </c>
      <c r="B51" s="64" t="s">
        <v>309</v>
      </c>
      <c r="C51" s="66">
        <v>3</v>
      </c>
      <c r="D51" s="66">
        <v>5</v>
      </c>
      <c r="E51" s="66">
        <v>10</v>
      </c>
      <c r="F51" s="66">
        <v>11</v>
      </c>
      <c r="G51" s="66">
        <v>12</v>
      </c>
      <c r="H51" s="66">
        <v>27</v>
      </c>
      <c r="I51" s="66">
        <v>32</v>
      </c>
      <c r="J51" s="66">
        <v>45</v>
      </c>
      <c r="K51" s="66">
        <v>42</v>
      </c>
      <c r="L51" s="66">
        <v>38</v>
      </c>
      <c r="M51" s="66">
        <v>20</v>
      </c>
      <c r="N51" s="66">
        <v>17</v>
      </c>
      <c r="O51" s="66">
        <v>26</v>
      </c>
      <c r="P51" s="66">
        <v>39</v>
      </c>
      <c r="Q51" s="66">
        <v>37</v>
      </c>
      <c r="R51" s="107">
        <v>46</v>
      </c>
      <c r="S51" s="107">
        <v>47</v>
      </c>
      <c r="T51" s="107">
        <v>49</v>
      </c>
      <c r="U51" s="107">
        <v>50</v>
      </c>
      <c r="V51" s="107">
        <v>51</v>
      </c>
      <c r="W51" s="107">
        <v>48</v>
      </c>
    </row>
    <row r="52" spans="1:23" x14ac:dyDescent="0.35">
      <c r="A52" s="63">
        <v>51</v>
      </c>
      <c r="B52" s="64" t="s">
        <v>310</v>
      </c>
      <c r="C52" s="66">
        <v>42</v>
      </c>
      <c r="D52" s="66">
        <v>38</v>
      </c>
      <c r="E52" s="66">
        <v>37</v>
      </c>
      <c r="F52" s="66">
        <v>31</v>
      </c>
      <c r="G52" s="66">
        <v>23</v>
      </c>
      <c r="H52" s="66">
        <v>22</v>
      </c>
      <c r="I52" s="66">
        <v>20</v>
      </c>
      <c r="J52" s="66">
        <v>11</v>
      </c>
      <c r="K52" s="66">
        <v>6</v>
      </c>
      <c r="L52" s="66">
        <v>5</v>
      </c>
      <c r="M52" s="66">
        <v>35</v>
      </c>
      <c r="N52" s="66">
        <v>32</v>
      </c>
      <c r="O52" s="66">
        <v>19</v>
      </c>
      <c r="P52" s="66">
        <v>18</v>
      </c>
      <c r="Q52" s="66">
        <v>10</v>
      </c>
      <c r="R52" s="107">
        <v>46</v>
      </c>
      <c r="S52" s="107">
        <v>47</v>
      </c>
      <c r="T52" s="107">
        <v>49</v>
      </c>
      <c r="U52" s="107">
        <v>50</v>
      </c>
      <c r="V52" s="107">
        <v>51</v>
      </c>
      <c r="W52" s="107">
        <v>48</v>
      </c>
    </row>
    <row r="53" spans="1:23" x14ac:dyDescent="0.35">
      <c r="A53" s="63">
        <v>52</v>
      </c>
      <c r="B53" s="64" t="s">
        <v>311</v>
      </c>
      <c r="C53" s="66">
        <v>4</v>
      </c>
      <c r="D53" s="66">
        <v>11</v>
      </c>
      <c r="E53" s="66">
        <v>12</v>
      </c>
      <c r="F53" s="66">
        <v>18</v>
      </c>
      <c r="G53" s="66">
        <v>20</v>
      </c>
      <c r="H53" s="66">
        <v>27</v>
      </c>
      <c r="I53" s="66">
        <v>34</v>
      </c>
      <c r="J53" s="66">
        <v>36</v>
      </c>
      <c r="K53" s="66">
        <v>37</v>
      </c>
      <c r="L53" s="66">
        <v>45</v>
      </c>
      <c r="M53" s="66">
        <v>38</v>
      </c>
      <c r="N53" s="66">
        <v>5</v>
      </c>
      <c r="O53" s="66">
        <v>14</v>
      </c>
      <c r="P53" s="66">
        <v>16</v>
      </c>
      <c r="Q53" s="66">
        <v>17</v>
      </c>
      <c r="R53" s="107">
        <v>46</v>
      </c>
      <c r="S53" s="107">
        <v>47</v>
      </c>
      <c r="T53" s="107">
        <v>49</v>
      </c>
      <c r="U53" s="107">
        <v>50</v>
      </c>
      <c r="V53" s="107">
        <v>51</v>
      </c>
      <c r="W53" s="107">
        <v>48</v>
      </c>
    </row>
    <row r="54" spans="1:23" x14ac:dyDescent="0.35">
      <c r="A54" s="63">
        <v>53</v>
      </c>
      <c r="B54" s="64" t="s">
        <v>312</v>
      </c>
      <c r="C54" s="66">
        <v>39</v>
      </c>
      <c r="D54" s="66">
        <v>43</v>
      </c>
      <c r="E54" s="66">
        <v>42</v>
      </c>
      <c r="F54" s="66">
        <v>5</v>
      </c>
      <c r="G54" s="66">
        <v>10</v>
      </c>
      <c r="H54" s="66">
        <v>12</v>
      </c>
      <c r="I54" s="66">
        <v>18</v>
      </c>
      <c r="J54" s="66">
        <v>16</v>
      </c>
      <c r="K54" s="66">
        <v>25</v>
      </c>
      <c r="L54" s="66">
        <v>27</v>
      </c>
      <c r="M54" s="66">
        <v>3</v>
      </c>
      <c r="N54" s="66">
        <v>25</v>
      </c>
      <c r="O54" s="66">
        <v>44</v>
      </c>
      <c r="P54" s="66">
        <v>45</v>
      </c>
      <c r="Q54" s="66">
        <v>23</v>
      </c>
      <c r="R54" s="107">
        <v>46</v>
      </c>
      <c r="S54" s="107">
        <v>47</v>
      </c>
      <c r="T54" s="107">
        <v>49</v>
      </c>
      <c r="U54" s="107">
        <v>50</v>
      </c>
      <c r="V54" s="107">
        <v>51</v>
      </c>
      <c r="W54" s="107">
        <v>48</v>
      </c>
    </row>
    <row r="55" spans="1:23" x14ac:dyDescent="0.35">
      <c r="A55" s="63">
        <v>54</v>
      </c>
      <c r="B55" s="64" t="s">
        <v>313</v>
      </c>
      <c r="C55" s="66">
        <v>1</v>
      </c>
      <c r="D55" s="66">
        <v>2</v>
      </c>
      <c r="E55" s="66">
        <v>5</v>
      </c>
      <c r="F55" s="66">
        <v>12</v>
      </c>
      <c r="G55" s="66">
        <v>14</v>
      </c>
      <c r="H55" s="66">
        <v>17</v>
      </c>
      <c r="I55" s="66">
        <v>18</v>
      </c>
      <c r="J55" s="66">
        <v>19</v>
      </c>
      <c r="K55" s="66">
        <v>23</v>
      </c>
      <c r="L55" s="66">
        <v>27</v>
      </c>
      <c r="M55" s="66">
        <v>36</v>
      </c>
      <c r="N55" s="66">
        <v>37</v>
      </c>
      <c r="O55" s="66">
        <v>38</v>
      </c>
      <c r="P55" s="66">
        <v>45</v>
      </c>
      <c r="Q55" s="65"/>
      <c r="R55" s="107">
        <v>46</v>
      </c>
      <c r="S55" s="107">
        <v>47</v>
      </c>
      <c r="T55" s="107">
        <v>49</v>
      </c>
      <c r="U55" s="107">
        <v>50</v>
      </c>
      <c r="V55" s="107">
        <v>51</v>
      </c>
      <c r="W55" s="107">
        <v>48</v>
      </c>
    </row>
    <row r="56" spans="1:23" x14ac:dyDescent="0.35">
      <c r="A56" s="63">
        <v>55</v>
      </c>
      <c r="B56" s="64" t="s">
        <v>314</v>
      </c>
      <c r="C56" s="66">
        <v>2</v>
      </c>
      <c r="D56" s="66">
        <v>7</v>
      </c>
      <c r="E56" s="66">
        <v>14</v>
      </c>
      <c r="F56" s="66">
        <v>15</v>
      </c>
      <c r="G56" s="66">
        <v>16</v>
      </c>
      <c r="H56" s="66">
        <v>45</v>
      </c>
      <c r="I56" s="66">
        <v>22</v>
      </c>
      <c r="J56" s="66">
        <v>23</v>
      </c>
      <c r="K56" s="66">
        <v>24</v>
      </c>
      <c r="L56" s="66">
        <v>27</v>
      </c>
      <c r="M56" s="66">
        <v>28</v>
      </c>
      <c r="N56" s="66">
        <v>30</v>
      </c>
      <c r="O56" s="66">
        <v>34</v>
      </c>
      <c r="P56" s="66">
        <v>41</v>
      </c>
      <c r="Q56" s="66">
        <v>43</v>
      </c>
      <c r="R56" s="107">
        <v>46</v>
      </c>
      <c r="S56" s="107">
        <v>47</v>
      </c>
      <c r="T56" s="107">
        <v>49</v>
      </c>
      <c r="U56" s="107">
        <v>50</v>
      </c>
      <c r="V56" s="107">
        <v>51</v>
      </c>
      <c r="W56" s="107">
        <v>48</v>
      </c>
    </row>
    <row r="57" spans="1:23" x14ac:dyDescent="0.35">
      <c r="A57" s="63">
        <v>56</v>
      </c>
      <c r="B57" s="64" t="s">
        <v>315</v>
      </c>
      <c r="C57" s="66">
        <v>1</v>
      </c>
      <c r="D57" s="66">
        <v>3</v>
      </c>
      <c r="E57" s="66">
        <v>4</v>
      </c>
      <c r="F57" s="66">
        <v>6</v>
      </c>
      <c r="G57" s="66">
        <v>11</v>
      </c>
      <c r="H57" s="66">
        <v>12</v>
      </c>
      <c r="I57" s="66">
        <v>14</v>
      </c>
      <c r="J57" s="66">
        <v>15</v>
      </c>
      <c r="K57" s="66">
        <v>17</v>
      </c>
      <c r="L57" s="66">
        <v>19</v>
      </c>
      <c r="M57" s="66">
        <v>23</v>
      </c>
      <c r="N57" s="66">
        <v>27</v>
      </c>
      <c r="O57" s="66">
        <v>36</v>
      </c>
      <c r="P57" s="66">
        <v>40</v>
      </c>
      <c r="Q57" s="66">
        <v>45</v>
      </c>
      <c r="R57" s="107">
        <v>46</v>
      </c>
      <c r="S57" s="107">
        <v>47</v>
      </c>
      <c r="T57" s="107">
        <v>49</v>
      </c>
      <c r="U57" s="107">
        <v>50</v>
      </c>
      <c r="V57" s="107">
        <v>51</v>
      </c>
      <c r="W57" s="107">
        <v>48</v>
      </c>
    </row>
    <row r="58" spans="1:23" x14ac:dyDescent="0.35">
      <c r="A58" s="63">
        <v>57</v>
      </c>
      <c r="B58" s="64" t="s">
        <v>316</v>
      </c>
      <c r="C58" s="66">
        <v>12</v>
      </c>
      <c r="D58" s="66">
        <v>15</v>
      </c>
      <c r="E58" s="66">
        <v>16</v>
      </c>
      <c r="F58" s="66">
        <v>23</v>
      </c>
      <c r="G58" s="66">
        <v>22</v>
      </c>
      <c r="H58" s="66">
        <v>30</v>
      </c>
      <c r="I58" s="66">
        <v>35</v>
      </c>
      <c r="J58" s="66">
        <v>5</v>
      </c>
      <c r="K58" s="66">
        <v>20</v>
      </c>
      <c r="L58" s="66">
        <v>28</v>
      </c>
      <c r="M58" s="66">
        <v>37</v>
      </c>
      <c r="N58" s="66">
        <v>45</v>
      </c>
      <c r="O58" s="65"/>
      <c r="P58" s="65"/>
      <c r="Q58" s="65"/>
      <c r="R58" s="107">
        <v>46</v>
      </c>
      <c r="S58" s="107">
        <v>47</v>
      </c>
      <c r="T58" s="107">
        <v>49</v>
      </c>
      <c r="U58" s="107">
        <v>50</v>
      </c>
      <c r="V58" s="107">
        <v>51</v>
      </c>
      <c r="W58" s="107">
        <v>48</v>
      </c>
    </row>
    <row r="59" spans="1:23" x14ac:dyDescent="0.35">
      <c r="A59" s="63">
        <v>58</v>
      </c>
      <c r="B59" s="64" t="s">
        <v>317</v>
      </c>
      <c r="C59" s="66">
        <v>41</v>
      </c>
      <c r="D59" s="66">
        <v>5</v>
      </c>
      <c r="E59" s="66">
        <v>6</v>
      </c>
      <c r="F59" s="66">
        <v>10</v>
      </c>
      <c r="G59" s="66">
        <v>11</v>
      </c>
      <c r="H59" s="66">
        <v>12</v>
      </c>
      <c r="I59" s="66">
        <v>16</v>
      </c>
      <c r="J59" s="66">
        <v>20</v>
      </c>
      <c r="K59" s="66">
        <v>22</v>
      </c>
      <c r="L59" s="66">
        <v>24</v>
      </c>
      <c r="M59" s="66">
        <v>27</v>
      </c>
      <c r="N59" s="66">
        <v>28</v>
      </c>
      <c r="O59" s="66">
        <v>38</v>
      </c>
      <c r="P59" s="66">
        <v>39</v>
      </c>
      <c r="Q59" s="65"/>
      <c r="R59" s="107">
        <v>46</v>
      </c>
      <c r="S59" s="107">
        <v>47</v>
      </c>
      <c r="T59" s="107">
        <v>49</v>
      </c>
      <c r="U59" s="107">
        <v>50</v>
      </c>
      <c r="V59" s="107">
        <v>51</v>
      </c>
      <c r="W59" s="107">
        <v>48</v>
      </c>
    </row>
    <row r="60" spans="1:23" x14ac:dyDescent="0.35">
      <c r="A60" s="63">
        <v>59</v>
      </c>
      <c r="B60" s="64" t="s">
        <v>318</v>
      </c>
      <c r="C60" s="66">
        <v>12</v>
      </c>
      <c r="D60" s="66">
        <v>14</v>
      </c>
      <c r="E60" s="66">
        <v>16</v>
      </c>
      <c r="F60" s="66">
        <v>20</v>
      </c>
      <c r="G60" s="66">
        <v>23</v>
      </c>
      <c r="H60" s="66">
        <v>28</v>
      </c>
      <c r="I60" s="66">
        <v>39</v>
      </c>
      <c r="J60" s="66">
        <v>43</v>
      </c>
      <c r="K60" s="65" t="s">
        <v>263</v>
      </c>
      <c r="L60" s="65"/>
      <c r="M60" s="65"/>
      <c r="N60" s="65"/>
      <c r="O60" s="65"/>
      <c r="P60" s="65"/>
      <c r="Q60" s="65"/>
      <c r="R60" s="107">
        <v>46</v>
      </c>
      <c r="S60" s="107">
        <v>47</v>
      </c>
      <c r="T60" s="107">
        <v>49</v>
      </c>
      <c r="U60" s="107">
        <v>50</v>
      </c>
      <c r="V60" s="107">
        <v>51</v>
      </c>
      <c r="W60" s="107">
        <v>48</v>
      </c>
    </row>
    <row r="61" spans="1:23" x14ac:dyDescent="0.35">
      <c r="A61" s="63">
        <v>60</v>
      </c>
      <c r="B61" s="64" t="s">
        <v>319</v>
      </c>
      <c r="C61" s="66">
        <v>37</v>
      </c>
      <c r="D61" s="66">
        <v>11</v>
      </c>
      <c r="E61" s="66">
        <v>27</v>
      </c>
      <c r="F61" s="66">
        <v>23</v>
      </c>
      <c r="G61" s="66">
        <v>45</v>
      </c>
      <c r="H61" s="66">
        <v>12</v>
      </c>
      <c r="I61" s="66">
        <v>20</v>
      </c>
      <c r="J61" s="66">
        <v>6</v>
      </c>
      <c r="K61" s="66">
        <v>45</v>
      </c>
      <c r="L61" s="66">
        <v>14</v>
      </c>
      <c r="M61" s="66">
        <v>30</v>
      </c>
      <c r="N61" s="66">
        <v>4</v>
      </c>
      <c r="O61" s="66">
        <v>17</v>
      </c>
      <c r="P61" s="66">
        <v>36</v>
      </c>
      <c r="Q61" s="66">
        <v>34</v>
      </c>
      <c r="R61" s="107">
        <v>46</v>
      </c>
      <c r="S61" s="107">
        <v>47</v>
      </c>
      <c r="T61" s="107">
        <v>49</v>
      </c>
      <c r="U61" s="107">
        <v>50</v>
      </c>
      <c r="V61" s="107">
        <v>51</v>
      </c>
      <c r="W61" s="107">
        <v>48</v>
      </c>
    </row>
    <row r="62" spans="1:23" x14ac:dyDescent="0.35">
      <c r="A62" s="63">
        <v>61</v>
      </c>
      <c r="B62" s="64" t="s">
        <v>320</v>
      </c>
      <c r="C62" s="66">
        <v>45</v>
      </c>
      <c r="D62" s="66">
        <v>40</v>
      </c>
      <c r="E62" s="66">
        <v>39</v>
      </c>
      <c r="F62" s="66">
        <v>37</v>
      </c>
      <c r="G62" s="66">
        <v>36</v>
      </c>
      <c r="H62" s="66">
        <v>34</v>
      </c>
      <c r="I62" s="66">
        <v>31</v>
      </c>
      <c r="J62" s="66">
        <v>27</v>
      </c>
      <c r="K62" s="66">
        <v>4</v>
      </c>
      <c r="L62" s="66">
        <v>24</v>
      </c>
      <c r="M62" s="66">
        <v>23</v>
      </c>
      <c r="N62" s="66">
        <v>22</v>
      </c>
      <c r="O62" s="65"/>
      <c r="P62" s="65"/>
      <c r="Q62" s="65"/>
      <c r="R62" s="107">
        <v>46</v>
      </c>
      <c r="S62" s="107">
        <v>47</v>
      </c>
      <c r="T62" s="107">
        <v>49</v>
      </c>
      <c r="U62" s="107">
        <v>50</v>
      </c>
      <c r="V62" s="107">
        <v>51</v>
      </c>
      <c r="W62" s="107">
        <v>48</v>
      </c>
    </row>
    <row r="63" spans="1:23" x14ac:dyDescent="0.35">
      <c r="A63" s="63">
        <v>62</v>
      </c>
      <c r="B63" s="64" t="s">
        <v>321</v>
      </c>
      <c r="C63" s="66">
        <v>6</v>
      </c>
      <c r="D63" s="66">
        <v>14</v>
      </c>
      <c r="E63" s="66">
        <v>10</v>
      </c>
      <c r="F63" s="66">
        <v>20</v>
      </c>
      <c r="G63" s="66">
        <v>27</v>
      </c>
      <c r="H63" s="66">
        <v>31</v>
      </c>
      <c r="I63" s="66">
        <v>29</v>
      </c>
      <c r="J63" s="66">
        <v>28</v>
      </c>
      <c r="K63" s="66">
        <v>35</v>
      </c>
      <c r="L63" s="66">
        <v>41</v>
      </c>
      <c r="M63" s="66">
        <v>45</v>
      </c>
      <c r="N63" s="66">
        <v>23</v>
      </c>
      <c r="O63" s="66">
        <v>26</v>
      </c>
      <c r="P63" s="66">
        <v>16</v>
      </c>
      <c r="Q63" s="66">
        <v>15</v>
      </c>
      <c r="R63" s="107">
        <v>46</v>
      </c>
      <c r="S63" s="107">
        <v>47</v>
      </c>
      <c r="T63" s="107">
        <v>49</v>
      </c>
      <c r="U63" s="107">
        <v>50</v>
      </c>
      <c r="V63" s="107">
        <v>51</v>
      </c>
      <c r="W63" s="107">
        <v>48</v>
      </c>
    </row>
    <row r="64" spans="1:23" x14ac:dyDescent="0.35">
      <c r="A64" s="63">
        <v>63</v>
      </c>
      <c r="B64" s="64" t="s">
        <v>322</v>
      </c>
      <c r="C64" s="66">
        <v>3</v>
      </c>
      <c r="D64" s="66">
        <v>5</v>
      </c>
      <c r="E64" s="66">
        <v>19</v>
      </c>
      <c r="F64" s="66">
        <v>30</v>
      </c>
      <c r="G64" s="66">
        <v>45</v>
      </c>
      <c r="H64" s="66">
        <v>4</v>
      </c>
      <c r="I64" s="66">
        <v>41</v>
      </c>
      <c r="J64" s="66">
        <v>33</v>
      </c>
      <c r="K64" s="66">
        <v>24</v>
      </c>
      <c r="L64" s="66">
        <v>15</v>
      </c>
      <c r="M64" s="65"/>
      <c r="N64" s="65"/>
      <c r="O64" s="65"/>
      <c r="P64" s="65"/>
      <c r="Q64" s="65"/>
      <c r="R64" s="107">
        <v>46</v>
      </c>
      <c r="S64" s="107">
        <v>47</v>
      </c>
      <c r="T64" s="107">
        <v>49</v>
      </c>
      <c r="U64" s="107">
        <v>50</v>
      </c>
      <c r="V64" s="107">
        <v>51</v>
      </c>
      <c r="W64" s="107">
        <v>48</v>
      </c>
    </row>
    <row r="65" spans="1:23" x14ac:dyDescent="0.35">
      <c r="A65" s="63">
        <v>64</v>
      </c>
      <c r="B65" s="64" t="s">
        <v>323</v>
      </c>
      <c r="C65" s="66">
        <v>3</v>
      </c>
      <c r="D65" s="66">
        <v>5</v>
      </c>
      <c r="E65" s="66">
        <v>10</v>
      </c>
      <c r="F65" s="66">
        <v>14</v>
      </c>
      <c r="G65" s="66">
        <v>42</v>
      </c>
      <c r="H65" s="66">
        <v>38</v>
      </c>
      <c r="I65" s="66">
        <v>34</v>
      </c>
      <c r="J65" s="66">
        <v>31</v>
      </c>
      <c r="K65" s="66">
        <v>24</v>
      </c>
      <c r="L65" s="66">
        <v>23</v>
      </c>
      <c r="M65" s="66">
        <v>22</v>
      </c>
      <c r="N65" s="66">
        <v>20</v>
      </c>
      <c r="O65" s="66">
        <v>40</v>
      </c>
      <c r="P65" s="66">
        <v>17</v>
      </c>
      <c r="Q65" s="66">
        <v>19</v>
      </c>
      <c r="R65" s="107">
        <v>46</v>
      </c>
      <c r="S65" s="107">
        <v>47</v>
      </c>
      <c r="T65" s="107">
        <v>49</v>
      </c>
      <c r="U65" s="107">
        <v>50</v>
      </c>
      <c r="V65" s="107">
        <v>51</v>
      </c>
      <c r="W65" s="107">
        <v>48</v>
      </c>
    </row>
    <row r="66" spans="1:23" x14ac:dyDescent="0.35">
      <c r="A66" s="63">
        <v>65</v>
      </c>
      <c r="B66" s="64" t="s">
        <v>324</v>
      </c>
      <c r="C66" s="66">
        <v>3</v>
      </c>
      <c r="D66" s="66">
        <v>5</v>
      </c>
      <c r="E66" s="66">
        <v>6</v>
      </c>
      <c r="F66" s="66">
        <v>14</v>
      </c>
      <c r="G66" s="66">
        <v>17</v>
      </c>
      <c r="H66" s="66">
        <v>18</v>
      </c>
      <c r="I66" s="66">
        <v>19</v>
      </c>
      <c r="J66" s="66">
        <v>20</v>
      </c>
      <c r="K66" s="66">
        <v>27</v>
      </c>
      <c r="L66" s="66">
        <v>28</v>
      </c>
      <c r="M66" s="66">
        <v>34</v>
      </c>
      <c r="N66" s="66">
        <v>39</v>
      </c>
      <c r="O66" s="66">
        <v>42</v>
      </c>
      <c r="P66" s="66">
        <v>45</v>
      </c>
      <c r="Q66" s="66">
        <v>36</v>
      </c>
      <c r="R66" s="107">
        <v>46</v>
      </c>
      <c r="S66" s="107">
        <v>47</v>
      </c>
      <c r="T66" s="107">
        <v>49</v>
      </c>
      <c r="U66" s="107">
        <v>50</v>
      </c>
      <c r="V66" s="107">
        <v>51</v>
      </c>
      <c r="W66" s="107">
        <v>48</v>
      </c>
    </row>
    <row r="67" spans="1:23" x14ac:dyDescent="0.35">
      <c r="A67" s="63">
        <v>66</v>
      </c>
      <c r="B67" s="64" t="s">
        <v>325</v>
      </c>
      <c r="C67" s="66">
        <v>42</v>
      </c>
      <c r="D67" s="66">
        <v>43</v>
      </c>
      <c r="E67" s="66">
        <v>45</v>
      </c>
      <c r="F67" s="66">
        <v>39</v>
      </c>
      <c r="G67" s="66">
        <v>34</v>
      </c>
      <c r="H67" s="66">
        <v>27</v>
      </c>
      <c r="I67" s="66">
        <v>23</v>
      </c>
      <c r="J67" s="66">
        <v>15</v>
      </c>
      <c r="K67" s="66">
        <v>14</v>
      </c>
      <c r="L67" s="66">
        <v>5</v>
      </c>
      <c r="M67" s="66">
        <v>4</v>
      </c>
      <c r="N67" s="66">
        <v>2</v>
      </c>
      <c r="O67" s="66">
        <v>19</v>
      </c>
      <c r="P67" s="66">
        <v>28</v>
      </c>
      <c r="Q67" s="66">
        <v>36</v>
      </c>
      <c r="R67" s="107">
        <v>46</v>
      </c>
      <c r="S67" s="107">
        <v>47</v>
      </c>
      <c r="T67" s="107">
        <v>49</v>
      </c>
      <c r="U67" s="107">
        <v>50</v>
      </c>
      <c r="V67" s="107">
        <v>51</v>
      </c>
      <c r="W67" s="107">
        <v>48</v>
      </c>
    </row>
    <row r="68" spans="1:23" x14ac:dyDescent="0.35">
      <c r="A68" s="63">
        <v>67</v>
      </c>
      <c r="B68" s="64" t="s">
        <v>326</v>
      </c>
      <c r="C68" s="66">
        <v>2</v>
      </c>
      <c r="D68" s="66">
        <v>10</v>
      </c>
      <c r="E68" s="66">
        <v>11</v>
      </c>
      <c r="F68" s="66">
        <v>12</v>
      </c>
      <c r="G68" s="66">
        <v>16</v>
      </c>
      <c r="H68" s="66">
        <v>15</v>
      </c>
      <c r="I68" s="66">
        <v>18</v>
      </c>
      <c r="J68" s="66">
        <v>20</v>
      </c>
      <c r="K68" s="66">
        <v>27</v>
      </c>
      <c r="L68" s="66">
        <v>42</v>
      </c>
      <c r="M68" s="66">
        <v>43</v>
      </c>
      <c r="N68" s="66">
        <v>38</v>
      </c>
      <c r="O68" s="66">
        <v>29</v>
      </c>
      <c r="P68" s="65"/>
      <c r="Q68" s="65"/>
      <c r="R68" s="107">
        <v>46</v>
      </c>
      <c r="S68" s="107">
        <v>47</v>
      </c>
      <c r="T68" s="107">
        <v>49</v>
      </c>
      <c r="U68" s="107">
        <v>50</v>
      </c>
      <c r="V68" s="107">
        <v>51</v>
      </c>
      <c r="W68" s="107">
        <v>48</v>
      </c>
    </row>
    <row r="69" spans="1:23" x14ac:dyDescent="0.35">
      <c r="A69" s="63">
        <v>68</v>
      </c>
      <c r="B69" s="64" t="s">
        <v>327</v>
      </c>
      <c r="C69" s="66">
        <v>29</v>
      </c>
      <c r="D69" s="66">
        <v>43</v>
      </c>
      <c r="E69" s="66">
        <v>42</v>
      </c>
      <c r="F69" s="66">
        <v>12</v>
      </c>
      <c r="G69" s="66">
        <v>11</v>
      </c>
      <c r="H69" s="66">
        <v>10</v>
      </c>
      <c r="I69" s="66">
        <v>2</v>
      </c>
      <c r="J69" s="66">
        <v>16</v>
      </c>
      <c r="K69" s="66">
        <v>20</v>
      </c>
      <c r="L69" s="66">
        <v>15</v>
      </c>
      <c r="M69" s="66">
        <v>18</v>
      </c>
      <c r="N69" s="66">
        <v>27</v>
      </c>
      <c r="O69" s="66">
        <v>38</v>
      </c>
      <c r="P69" s="65"/>
      <c r="Q69" s="66">
        <v>30</v>
      </c>
      <c r="R69" s="107">
        <v>46</v>
      </c>
      <c r="S69" s="107">
        <v>47</v>
      </c>
      <c r="T69" s="107">
        <v>49</v>
      </c>
      <c r="U69" s="107">
        <v>50</v>
      </c>
      <c r="V69" s="107">
        <v>51</v>
      </c>
      <c r="W69" s="107">
        <v>48</v>
      </c>
    </row>
    <row r="70" spans="1:23" x14ac:dyDescent="0.35">
      <c r="A70" s="63">
        <v>69</v>
      </c>
      <c r="B70" s="64" t="s">
        <v>328</v>
      </c>
      <c r="C70" s="66">
        <v>5</v>
      </c>
      <c r="D70" s="66">
        <v>11</v>
      </c>
      <c r="E70" s="66">
        <v>12</v>
      </c>
      <c r="F70" s="66">
        <v>19</v>
      </c>
      <c r="G70" s="66">
        <v>20</v>
      </c>
      <c r="H70" s="66">
        <v>23</v>
      </c>
      <c r="I70" s="66">
        <v>27</v>
      </c>
      <c r="J70" s="66">
        <v>42</v>
      </c>
      <c r="K70" s="66">
        <v>45</v>
      </c>
      <c r="L70" s="66">
        <v>40</v>
      </c>
      <c r="M70" s="66">
        <v>25</v>
      </c>
      <c r="N70" s="66">
        <v>15</v>
      </c>
      <c r="O70" s="66">
        <v>34</v>
      </c>
      <c r="P70" s="66">
        <v>37</v>
      </c>
      <c r="Q70" s="66">
        <v>33</v>
      </c>
      <c r="R70" s="107">
        <v>46</v>
      </c>
      <c r="S70" s="107">
        <v>47</v>
      </c>
      <c r="T70" s="107">
        <v>49</v>
      </c>
      <c r="U70" s="107">
        <v>50</v>
      </c>
      <c r="V70" s="107">
        <v>51</v>
      </c>
      <c r="W70" s="107">
        <v>48</v>
      </c>
    </row>
    <row r="71" spans="1:23" x14ac:dyDescent="0.35">
      <c r="A71" s="63">
        <v>70</v>
      </c>
      <c r="B71" s="64" t="s">
        <v>329</v>
      </c>
      <c r="C71" s="66">
        <v>2</v>
      </c>
      <c r="D71" s="66">
        <v>10</v>
      </c>
      <c r="E71" s="66">
        <v>7</v>
      </c>
      <c r="F71" s="66">
        <v>11</v>
      </c>
      <c r="G71" s="66">
        <v>12</v>
      </c>
      <c r="H71" s="66">
        <v>15</v>
      </c>
      <c r="I71" s="66">
        <v>16</v>
      </c>
      <c r="J71" s="66">
        <v>17</v>
      </c>
      <c r="K71" s="66">
        <v>27</v>
      </c>
      <c r="L71" s="66">
        <v>34</v>
      </c>
      <c r="M71" s="66">
        <v>36</v>
      </c>
      <c r="N71" s="66">
        <v>38</v>
      </c>
      <c r="O71" s="66">
        <v>42</v>
      </c>
      <c r="P71" s="66">
        <v>45</v>
      </c>
      <c r="Q71" s="66">
        <v>43</v>
      </c>
      <c r="R71" s="107">
        <v>46</v>
      </c>
      <c r="S71" s="107">
        <v>47</v>
      </c>
      <c r="T71" s="107">
        <v>49</v>
      </c>
      <c r="U71" s="107">
        <v>50</v>
      </c>
      <c r="V71" s="107">
        <v>51</v>
      </c>
      <c r="W71" s="107">
        <v>48</v>
      </c>
    </row>
    <row r="72" spans="1:23" x14ac:dyDescent="0.35">
      <c r="A72" s="63">
        <v>71</v>
      </c>
      <c r="B72" s="64" t="s">
        <v>330</v>
      </c>
      <c r="C72" s="66">
        <v>2</v>
      </c>
      <c r="D72" s="66">
        <v>4</v>
      </c>
      <c r="E72" s="66">
        <v>5</v>
      </c>
      <c r="F72" s="66">
        <v>6</v>
      </c>
      <c r="G72" s="66">
        <v>10</v>
      </c>
      <c r="H72" s="66">
        <v>18</v>
      </c>
      <c r="I72" s="66">
        <v>20</v>
      </c>
      <c r="J72" s="66">
        <v>25</v>
      </c>
      <c r="K72" s="66">
        <v>30</v>
      </c>
      <c r="L72" s="66">
        <v>36</v>
      </c>
      <c r="M72" s="66">
        <v>38</v>
      </c>
      <c r="N72" s="66">
        <v>42</v>
      </c>
      <c r="O72" s="66">
        <v>44</v>
      </c>
      <c r="P72" s="66">
        <v>45</v>
      </c>
      <c r="Q72" s="66">
        <v>16</v>
      </c>
      <c r="R72" s="107">
        <v>46</v>
      </c>
      <c r="S72" s="107">
        <v>47</v>
      </c>
      <c r="T72" s="107">
        <v>49</v>
      </c>
      <c r="U72" s="107">
        <v>50</v>
      </c>
      <c r="V72" s="107">
        <v>51</v>
      </c>
      <c r="W72" s="107">
        <v>48</v>
      </c>
    </row>
    <row r="73" spans="1:23" x14ac:dyDescent="0.35">
      <c r="A73" s="63">
        <v>72</v>
      </c>
      <c r="B73" s="64" t="s">
        <v>331</v>
      </c>
      <c r="C73" s="66">
        <v>11</v>
      </c>
      <c r="D73" s="66">
        <v>45</v>
      </c>
      <c r="E73" s="66">
        <v>44</v>
      </c>
      <c r="F73" s="66">
        <v>41</v>
      </c>
      <c r="G73" s="66">
        <v>35</v>
      </c>
      <c r="H73" s="66">
        <v>25</v>
      </c>
      <c r="I73" s="66">
        <v>24</v>
      </c>
      <c r="J73" s="66">
        <v>19</v>
      </c>
      <c r="K73" s="66">
        <v>16</v>
      </c>
      <c r="L73" s="66">
        <v>14</v>
      </c>
      <c r="M73" s="66">
        <v>27</v>
      </c>
      <c r="N73" s="66">
        <v>1</v>
      </c>
      <c r="O73" s="66">
        <v>34</v>
      </c>
      <c r="P73" s="66">
        <v>30</v>
      </c>
      <c r="Q73" s="66">
        <v>17</v>
      </c>
      <c r="R73" s="107">
        <v>46</v>
      </c>
      <c r="S73" s="107">
        <v>47</v>
      </c>
      <c r="T73" s="107">
        <v>49</v>
      </c>
      <c r="U73" s="107">
        <v>50</v>
      </c>
      <c r="V73" s="107">
        <v>51</v>
      </c>
      <c r="W73" s="107">
        <v>48</v>
      </c>
    </row>
    <row r="74" spans="1:23" x14ac:dyDescent="0.35">
      <c r="A74" s="63">
        <v>73</v>
      </c>
      <c r="B74" s="64" t="s">
        <v>332</v>
      </c>
      <c r="C74" s="66">
        <v>1</v>
      </c>
      <c r="D74" s="66">
        <v>4</v>
      </c>
      <c r="E74" s="66">
        <v>12</v>
      </c>
      <c r="F74" s="66">
        <v>14</v>
      </c>
      <c r="G74" s="66">
        <v>16</v>
      </c>
      <c r="H74" s="66">
        <v>15</v>
      </c>
      <c r="I74" s="66">
        <v>20</v>
      </c>
      <c r="J74" s="66">
        <v>24</v>
      </c>
      <c r="K74" s="66">
        <v>27</v>
      </c>
      <c r="L74" s="66">
        <v>31</v>
      </c>
      <c r="M74" s="66">
        <v>30</v>
      </c>
      <c r="N74" s="66">
        <v>34</v>
      </c>
      <c r="O74" s="66">
        <v>38</v>
      </c>
      <c r="P74" s="66">
        <v>43</v>
      </c>
      <c r="Q74" s="66">
        <v>45</v>
      </c>
      <c r="R74" s="107">
        <v>46</v>
      </c>
      <c r="S74" s="107">
        <v>47</v>
      </c>
      <c r="T74" s="107">
        <v>49</v>
      </c>
      <c r="U74" s="107">
        <v>50</v>
      </c>
      <c r="V74" s="107">
        <v>51</v>
      </c>
      <c r="W74" s="107">
        <v>48</v>
      </c>
    </row>
    <row r="75" spans="1:23" x14ac:dyDescent="0.35">
      <c r="A75" s="63">
        <v>74</v>
      </c>
      <c r="B75" s="64" t="s">
        <v>333</v>
      </c>
      <c r="C75" s="66">
        <v>1</v>
      </c>
      <c r="D75" s="66">
        <v>4</v>
      </c>
      <c r="E75" s="66">
        <v>12</v>
      </c>
      <c r="F75" s="66">
        <v>14</v>
      </c>
      <c r="G75" s="66">
        <v>16</v>
      </c>
      <c r="H75" s="66">
        <v>15</v>
      </c>
      <c r="I75" s="66">
        <v>20</v>
      </c>
      <c r="J75" s="66">
        <v>24</v>
      </c>
      <c r="K75" s="66">
        <v>27</v>
      </c>
      <c r="L75" s="66">
        <v>31</v>
      </c>
      <c r="M75" s="66">
        <v>34</v>
      </c>
      <c r="N75" s="66">
        <v>38</v>
      </c>
      <c r="O75" s="66">
        <v>43</v>
      </c>
      <c r="P75" s="66">
        <v>45</v>
      </c>
      <c r="Q75" s="66">
        <v>30</v>
      </c>
      <c r="R75" s="107">
        <v>46</v>
      </c>
      <c r="S75" s="107">
        <v>47</v>
      </c>
      <c r="T75" s="107">
        <v>49</v>
      </c>
      <c r="U75" s="107">
        <v>50</v>
      </c>
      <c r="V75" s="107">
        <v>51</v>
      </c>
      <c r="W75" s="107">
        <v>48</v>
      </c>
    </row>
    <row r="76" spans="1:23" x14ac:dyDescent="0.35">
      <c r="A76" s="63">
        <v>75</v>
      </c>
      <c r="B76" s="64" t="s">
        <v>334</v>
      </c>
      <c r="C76" s="66">
        <v>14</v>
      </c>
      <c r="D76" s="66">
        <v>27</v>
      </c>
      <c r="E76" s="66">
        <v>31</v>
      </c>
      <c r="F76" s="66">
        <v>1</v>
      </c>
      <c r="G76" s="66">
        <v>4</v>
      </c>
      <c r="H76" s="66">
        <v>15</v>
      </c>
      <c r="I76" s="66">
        <v>16</v>
      </c>
      <c r="J76" s="66">
        <v>24</v>
      </c>
      <c r="K76" s="66">
        <v>30</v>
      </c>
      <c r="L76" s="66">
        <v>36</v>
      </c>
      <c r="M76" s="66">
        <v>40</v>
      </c>
      <c r="N76" s="66">
        <v>45</v>
      </c>
      <c r="O76" s="66">
        <v>43</v>
      </c>
      <c r="P76" s="66">
        <v>5</v>
      </c>
      <c r="Q76" s="66">
        <v>22</v>
      </c>
      <c r="R76" s="107">
        <v>46</v>
      </c>
      <c r="S76" s="107">
        <v>47</v>
      </c>
      <c r="T76" s="107">
        <v>49</v>
      </c>
      <c r="U76" s="107">
        <v>50</v>
      </c>
      <c r="V76" s="107">
        <v>51</v>
      </c>
      <c r="W76" s="107">
        <v>48</v>
      </c>
    </row>
    <row r="77" spans="1:23" x14ac:dyDescent="0.35">
      <c r="A77" s="63">
        <v>76</v>
      </c>
      <c r="B77" s="64" t="s">
        <v>335</v>
      </c>
      <c r="C77" s="66">
        <v>5</v>
      </c>
      <c r="D77" s="66">
        <v>4</v>
      </c>
      <c r="E77" s="66">
        <v>11</v>
      </c>
      <c r="F77" s="66">
        <v>12</v>
      </c>
      <c r="G77" s="66">
        <v>14</v>
      </c>
      <c r="H77" s="66">
        <v>15</v>
      </c>
      <c r="I77" s="66">
        <v>16</v>
      </c>
      <c r="J77" s="66">
        <v>20</v>
      </c>
      <c r="K77" s="66">
        <v>23</v>
      </c>
      <c r="L77" s="66">
        <v>28</v>
      </c>
      <c r="M77" s="66">
        <v>37</v>
      </c>
      <c r="N77" s="66">
        <v>38</v>
      </c>
      <c r="O77" s="66">
        <v>40</v>
      </c>
      <c r="P77" s="66">
        <v>44</v>
      </c>
      <c r="Q77" s="66">
        <v>41</v>
      </c>
      <c r="R77" s="107">
        <v>46</v>
      </c>
      <c r="S77" s="107">
        <v>47</v>
      </c>
      <c r="T77" s="107">
        <v>49</v>
      </c>
      <c r="U77" s="107">
        <v>50</v>
      </c>
      <c r="V77" s="107">
        <v>51</v>
      </c>
      <c r="W77" s="107">
        <v>48</v>
      </c>
    </row>
    <row r="78" spans="1:23" x14ac:dyDescent="0.35">
      <c r="A78" s="63">
        <v>77</v>
      </c>
      <c r="B78" s="64" t="s">
        <v>336</v>
      </c>
      <c r="C78" s="66">
        <v>5</v>
      </c>
      <c r="D78" s="66">
        <v>10</v>
      </c>
      <c r="E78" s="66">
        <v>11</v>
      </c>
      <c r="F78" s="66">
        <v>14</v>
      </c>
      <c r="G78" s="66">
        <v>16</v>
      </c>
      <c r="H78" s="66">
        <v>17</v>
      </c>
      <c r="I78" s="66">
        <v>20</v>
      </c>
      <c r="J78" s="66">
        <v>22</v>
      </c>
      <c r="K78" s="66">
        <v>23</v>
      </c>
      <c r="L78" s="66">
        <v>27</v>
      </c>
      <c r="M78" s="66">
        <v>30</v>
      </c>
      <c r="N78" s="66">
        <v>35</v>
      </c>
      <c r="O78" s="66">
        <v>41</v>
      </c>
      <c r="P78" s="66">
        <v>42</v>
      </c>
      <c r="Q78" s="66">
        <v>45</v>
      </c>
      <c r="R78" s="107">
        <v>46</v>
      </c>
      <c r="S78" s="107">
        <v>47</v>
      </c>
      <c r="T78" s="107">
        <v>49</v>
      </c>
      <c r="U78" s="107">
        <v>50</v>
      </c>
      <c r="V78" s="107">
        <v>51</v>
      </c>
      <c r="W78" s="107">
        <v>48</v>
      </c>
    </row>
    <row r="79" spans="1:23" x14ac:dyDescent="0.35">
      <c r="A79" s="63">
        <v>78</v>
      </c>
      <c r="B79" s="64" t="s">
        <v>337</v>
      </c>
      <c r="C79" s="66">
        <v>14</v>
      </c>
      <c r="D79" s="66">
        <v>38</v>
      </c>
      <c r="E79" s="66">
        <v>37</v>
      </c>
      <c r="F79" s="66">
        <v>27</v>
      </c>
      <c r="G79" s="66">
        <v>28</v>
      </c>
      <c r="H79" s="66">
        <v>31</v>
      </c>
      <c r="I79" s="66">
        <v>10</v>
      </c>
      <c r="J79" s="66">
        <v>34</v>
      </c>
      <c r="K79" s="66">
        <v>39</v>
      </c>
      <c r="L79" s="66">
        <v>5</v>
      </c>
      <c r="M79" s="66">
        <v>3</v>
      </c>
      <c r="N79" s="66">
        <v>18</v>
      </c>
      <c r="O79" s="66">
        <v>45</v>
      </c>
      <c r="P79" s="66">
        <v>19</v>
      </c>
      <c r="Q79" s="66">
        <v>42</v>
      </c>
      <c r="R79" s="107">
        <v>46</v>
      </c>
      <c r="S79" s="107">
        <v>47</v>
      </c>
      <c r="T79" s="107">
        <v>49</v>
      </c>
      <c r="U79" s="107">
        <v>50</v>
      </c>
      <c r="V79" s="107">
        <v>51</v>
      </c>
      <c r="W79" s="107">
        <v>48</v>
      </c>
    </row>
    <row r="80" spans="1:23" x14ac:dyDescent="0.35">
      <c r="A80" s="63">
        <v>79</v>
      </c>
      <c r="B80" s="64" t="s">
        <v>338</v>
      </c>
      <c r="C80" s="66">
        <v>2</v>
      </c>
      <c r="D80" s="66">
        <v>3</v>
      </c>
      <c r="E80" s="66">
        <v>4</v>
      </c>
      <c r="F80" s="66">
        <v>5</v>
      </c>
      <c r="G80" s="66">
        <v>6</v>
      </c>
      <c r="H80" s="66">
        <v>10</v>
      </c>
      <c r="I80" s="66">
        <v>11</v>
      </c>
      <c r="J80" s="66">
        <v>12</v>
      </c>
      <c r="K80" s="66">
        <v>45</v>
      </c>
      <c r="L80" s="66">
        <v>43</v>
      </c>
      <c r="M80" s="66">
        <v>42</v>
      </c>
      <c r="N80" s="66">
        <v>31</v>
      </c>
      <c r="O80" s="66">
        <v>36</v>
      </c>
      <c r="P80" s="66">
        <v>32</v>
      </c>
      <c r="Q80" s="65"/>
      <c r="R80" s="107">
        <v>46</v>
      </c>
      <c r="S80" s="107">
        <v>47</v>
      </c>
      <c r="T80" s="107">
        <v>49</v>
      </c>
      <c r="U80" s="107">
        <v>50</v>
      </c>
      <c r="V80" s="107">
        <v>51</v>
      </c>
      <c r="W80" s="107">
        <v>48</v>
      </c>
    </row>
    <row r="81" spans="1:23" x14ac:dyDescent="0.35">
      <c r="A81" s="63">
        <v>80</v>
      </c>
      <c r="B81" s="64" t="s">
        <v>339</v>
      </c>
      <c r="C81" s="66">
        <v>45</v>
      </c>
      <c r="D81" s="66">
        <v>1</v>
      </c>
      <c r="E81" s="66">
        <v>5</v>
      </c>
      <c r="F81" s="66">
        <v>14</v>
      </c>
      <c r="G81" s="66">
        <v>20</v>
      </c>
      <c r="H81" s="66">
        <v>23</v>
      </c>
      <c r="I81" s="66">
        <v>24</v>
      </c>
      <c r="J81" s="66">
        <v>27</v>
      </c>
      <c r="K81" s="66">
        <v>28</v>
      </c>
      <c r="L81" s="66">
        <v>34</v>
      </c>
      <c r="M81" s="66">
        <v>36</v>
      </c>
      <c r="N81" s="66">
        <v>42</v>
      </c>
      <c r="O81" s="66">
        <v>15</v>
      </c>
      <c r="P81" s="66">
        <v>33</v>
      </c>
      <c r="Q81" s="66">
        <v>29</v>
      </c>
      <c r="R81" s="107">
        <v>46</v>
      </c>
      <c r="S81" s="107">
        <v>47</v>
      </c>
      <c r="T81" s="107">
        <v>49</v>
      </c>
      <c r="U81" s="107">
        <v>50</v>
      </c>
      <c r="V81" s="107">
        <v>51</v>
      </c>
      <c r="W81" s="107">
        <v>48</v>
      </c>
    </row>
    <row r="82" spans="1:23" x14ac:dyDescent="0.35">
      <c r="A82" s="63">
        <v>81</v>
      </c>
      <c r="B82" s="64" t="s">
        <v>340</v>
      </c>
      <c r="C82" s="66">
        <v>45</v>
      </c>
      <c r="D82" s="66">
        <v>43</v>
      </c>
      <c r="E82" s="66">
        <v>41</v>
      </c>
      <c r="F82" s="66">
        <v>38</v>
      </c>
      <c r="G82" s="66">
        <v>30</v>
      </c>
      <c r="H82" s="66">
        <v>27</v>
      </c>
      <c r="I82" s="66">
        <v>26</v>
      </c>
      <c r="J82" s="66">
        <v>23</v>
      </c>
      <c r="K82" s="66">
        <v>4</v>
      </c>
      <c r="L82" s="66">
        <v>5</v>
      </c>
      <c r="M82" s="66">
        <v>14</v>
      </c>
      <c r="N82" s="66">
        <v>16</v>
      </c>
      <c r="O82" s="66">
        <v>17</v>
      </c>
      <c r="P82" s="66">
        <v>18</v>
      </c>
      <c r="Q82" s="66">
        <v>36</v>
      </c>
      <c r="R82" s="107">
        <v>46</v>
      </c>
      <c r="S82" s="107">
        <v>47</v>
      </c>
      <c r="T82" s="107">
        <v>49</v>
      </c>
      <c r="U82" s="107">
        <v>50</v>
      </c>
      <c r="V82" s="107">
        <v>51</v>
      </c>
      <c r="W82" s="107">
        <v>48</v>
      </c>
    </row>
    <row r="83" spans="1:23" x14ac:dyDescent="0.35">
      <c r="A83" s="63">
        <v>82</v>
      </c>
      <c r="B83" s="64" t="s">
        <v>341</v>
      </c>
      <c r="C83" s="66">
        <v>6</v>
      </c>
      <c r="D83" s="66">
        <v>10</v>
      </c>
      <c r="E83" s="66">
        <v>16</v>
      </c>
      <c r="F83" s="66">
        <v>45</v>
      </c>
      <c r="G83" s="66">
        <v>39</v>
      </c>
      <c r="H83" s="66">
        <v>35</v>
      </c>
      <c r="I83" s="66">
        <v>32</v>
      </c>
      <c r="J83" s="66">
        <v>31</v>
      </c>
      <c r="K83" s="66">
        <v>28</v>
      </c>
      <c r="L83" s="66">
        <v>43</v>
      </c>
      <c r="M83" s="66">
        <v>34</v>
      </c>
      <c r="N83" s="66">
        <v>2</v>
      </c>
      <c r="O83" s="65"/>
      <c r="P83" s="65"/>
      <c r="Q83" s="65"/>
      <c r="R83" s="107">
        <v>46</v>
      </c>
      <c r="S83" s="107">
        <v>47</v>
      </c>
      <c r="T83" s="107">
        <v>49</v>
      </c>
      <c r="U83" s="107">
        <v>50</v>
      </c>
      <c r="V83" s="107">
        <v>51</v>
      </c>
      <c r="W83" s="107">
        <v>48</v>
      </c>
    </row>
    <row r="84" spans="1:23" x14ac:dyDescent="0.35">
      <c r="A84" s="63">
        <v>83</v>
      </c>
      <c r="B84" s="64" t="s">
        <v>342</v>
      </c>
      <c r="C84" s="66">
        <v>14</v>
      </c>
      <c r="D84" s="66">
        <v>23</v>
      </c>
      <c r="E84" s="66">
        <v>22</v>
      </c>
      <c r="F84" s="66">
        <v>31</v>
      </c>
      <c r="G84" s="66">
        <v>32</v>
      </c>
      <c r="H84" s="66">
        <v>33</v>
      </c>
      <c r="I84" s="66">
        <v>34</v>
      </c>
      <c r="J84" s="66">
        <v>45</v>
      </c>
      <c r="K84" s="65" t="s">
        <v>273</v>
      </c>
      <c r="L84" s="65"/>
      <c r="M84" s="65"/>
      <c r="N84" s="65"/>
      <c r="O84" s="65"/>
      <c r="P84" s="65"/>
      <c r="Q84" s="65"/>
      <c r="R84" s="107">
        <v>46</v>
      </c>
      <c r="S84" s="107">
        <v>47</v>
      </c>
      <c r="T84" s="107">
        <v>49</v>
      </c>
      <c r="U84" s="107">
        <v>50</v>
      </c>
      <c r="V84" s="107">
        <v>51</v>
      </c>
      <c r="W84" s="107">
        <v>48</v>
      </c>
    </row>
    <row r="85" spans="1:23" x14ac:dyDescent="0.35">
      <c r="A85" s="63">
        <v>84</v>
      </c>
      <c r="B85" s="64" t="s">
        <v>343</v>
      </c>
      <c r="C85" s="66">
        <v>45</v>
      </c>
      <c r="D85" s="66">
        <v>5</v>
      </c>
      <c r="E85" s="66">
        <v>11</v>
      </c>
      <c r="F85" s="66">
        <v>12</v>
      </c>
      <c r="G85" s="66">
        <v>15</v>
      </c>
      <c r="H85" s="66">
        <v>16</v>
      </c>
      <c r="I85" s="66">
        <v>20</v>
      </c>
      <c r="J85" s="66">
        <v>22</v>
      </c>
      <c r="K85" s="66">
        <v>25</v>
      </c>
      <c r="L85" s="66">
        <v>26</v>
      </c>
      <c r="M85" s="66">
        <v>27</v>
      </c>
      <c r="N85" s="66">
        <v>31</v>
      </c>
      <c r="O85" s="66">
        <v>33</v>
      </c>
      <c r="P85" s="66">
        <v>23</v>
      </c>
      <c r="Q85" s="66">
        <v>37</v>
      </c>
      <c r="R85" s="107">
        <v>46</v>
      </c>
      <c r="S85" s="107">
        <v>47</v>
      </c>
      <c r="T85" s="107">
        <v>49</v>
      </c>
      <c r="U85" s="107">
        <v>50</v>
      </c>
      <c r="V85" s="107">
        <v>51</v>
      </c>
      <c r="W85" s="107">
        <v>48</v>
      </c>
    </row>
    <row r="86" spans="1:23" x14ac:dyDescent="0.35">
      <c r="A86" s="63">
        <v>85</v>
      </c>
      <c r="B86" s="64" t="s">
        <v>344</v>
      </c>
      <c r="C86" s="66">
        <v>16</v>
      </c>
      <c r="D86" s="66">
        <v>15</v>
      </c>
      <c r="E86" s="66">
        <v>20</v>
      </c>
      <c r="F86" s="66">
        <v>22</v>
      </c>
      <c r="G86" s="66">
        <v>24</v>
      </c>
      <c r="H86" s="66">
        <v>29</v>
      </c>
      <c r="I86" s="66">
        <v>30</v>
      </c>
      <c r="J86" s="66">
        <v>31</v>
      </c>
      <c r="K86" s="66">
        <v>35</v>
      </c>
      <c r="L86" s="66">
        <v>37</v>
      </c>
      <c r="M86" s="66">
        <v>38</v>
      </c>
      <c r="N86" s="66">
        <v>40</v>
      </c>
      <c r="O86" s="66">
        <v>36</v>
      </c>
      <c r="P86" s="66">
        <v>32</v>
      </c>
      <c r="Q86" s="65"/>
      <c r="R86" s="107">
        <v>46</v>
      </c>
      <c r="S86" s="107">
        <v>47</v>
      </c>
      <c r="T86" s="107">
        <v>49</v>
      </c>
      <c r="U86" s="107">
        <v>50</v>
      </c>
      <c r="V86" s="107">
        <v>51</v>
      </c>
      <c r="W86" s="107">
        <v>48</v>
      </c>
    </row>
    <row r="87" spans="1:23" x14ac:dyDescent="0.35">
      <c r="A87" s="63">
        <v>86</v>
      </c>
      <c r="B87" s="64" t="s">
        <v>345</v>
      </c>
      <c r="C87" s="66">
        <v>5</v>
      </c>
      <c r="D87" s="66">
        <v>2</v>
      </c>
      <c r="E87" s="66">
        <v>11</v>
      </c>
      <c r="F87" s="66">
        <v>12</v>
      </c>
      <c r="G87" s="66">
        <v>15</v>
      </c>
      <c r="H87" s="66">
        <v>24</v>
      </c>
      <c r="I87" s="66">
        <v>30</v>
      </c>
      <c r="J87" s="66">
        <v>31</v>
      </c>
      <c r="K87" s="66">
        <v>37</v>
      </c>
      <c r="L87" s="66">
        <v>41</v>
      </c>
      <c r="M87" s="66">
        <v>45</v>
      </c>
      <c r="N87" s="66">
        <v>32</v>
      </c>
      <c r="O87" s="66">
        <v>33</v>
      </c>
      <c r="P87" s="66">
        <v>29</v>
      </c>
      <c r="Q87" s="66">
        <v>34</v>
      </c>
      <c r="R87" s="107">
        <v>46</v>
      </c>
      <c r="S87" s="107">
        <v>47</v>
      </c>
      <c r="T87" s="107">
        <v>49</v>
      </c>
      <c r="U87" s="107">
        <v>50</v>
      </c>
      <c r="V87" s="107">
        <v>51</v>
      </c>
      <c r="W87" s="107">
        <v>48</v>
      </c>
    </row>
    <row r="88" spans="1:23" x14ac:dyDescent="0.35">
      <c r="A88" s="63">
        <v>87</v>
      </c>
      <c r="B88" s="64" t="s">
        <v>346</v>
      </c>
      <c r="C88" s="66">
        <v>35</v>
      </c>
      <c r="D88" s="66">
        <v>34</v>
      </c>
      <c r="E88" s="66">
        <v>29</v>
      </c>
      <c r="F88" s="66">
        <v>28</v>
      </c>
      <c r="G88" s="66">
        <v>26</v>
      </c>
      <c r="H88" s="66">
        <v>16</v>
      </c>
      <c r="I88" s="66">
        <v>14</v>
      </c>
      <c r="J88" s="66">
        <v>45</v>
      </c>
      <c r="K88" s="66">
        <v>30</v>
      </c>
      <c r="L88" s="66">
        <v>31</v>
      </c>
      <c r="M88" s="66">
        <v>24</v>
      </c>
      <c r="N88" s="66">
        <v>22</v>
      </c>
      <c r="O88" s="66">
        <v>41</v>
      </c>
      <c r="P88" s="65"/>
      <c r="Q88" s="65"/>
      <c r="R88" s="107">
        <v>46</v>
      </c>
      <c r="S88" s="107">
        <v>47</v>
      </c>
      <c r="T88" s="107">
        <v>49</v>
      </c>
      <c r="U88" s="107">
        <v>50</v>
      </c>
      <c r="V88" s="107">
        <v>51</v>
      </c>
      <c r="W88" s="107">
        <v>48</v>
      </c>
    </row>
    <row r="89" spans="1:23" x14ac:dyDescent="0.35">
      <c r="A89" s="63">
        <v>88</v>
      </c>
      <c r="B89" s="64" t="s">
        <v>347</v>
      </c>
      <c r="C89" s="66">
        <v>14</v>
      </c>
      <c r="D89" s="66">
        <v>16</v>
      </c>
      <c r="E89" s="66">
        <v>22</v>
      </c>
      <c r="F89" s="66">
        <v>23</v>
      </c>
      <c r="G89" s="66">
        <v>24</v>
      </c>
      <c r="H89" s="66">
        <v>27</v>
      </c>
      <c r="I89" s="66">
        <v>30</v>
      </c>
      <c r="J89" s="66">
        <v>31</v>
      </c>
      <c r="K89" s="66">
        <v>32</v>
      </c>
      <c r="L89" s="66">
        <v>34</v>
      </c>
      <c r="M89" s="66">
        <v>38</v>
      </c>
      <c r="N89" s="66">
        <v>40</v>
      </c>
      <c r="O89" s="66">
        <v>45</v>
      </c>
      <c r="P89" s="66">
        <v>35</v>
      </c>
      <c r="Q89" s="65"/>
      <c r="R89" s="107">
        <v>46</v>
      </c>
      <c r="S89" s="107">
        <v>47</v>
      </c>
      <c r="T89" s="107">
        <v>49</v>
      </c>
      <c r="U89" s="107">
        <v>50</v>
      </c>
      <c r="V89" s="107">
        <v>51</v>
      </c>
      <c r="W89" s="107">
        <v>48</v>
      </c>
    </row>
    <row r="90" spans="1:23" x14ac:dyDescent="0.35">
      <c r="A90" s="63">
        <v>89</v>
      </c>
      <c r="B90" s="64" t="s">
        <v>348</v>
      </c>
      <c r="C90" s="66">
        <v>3</v>
      </c>
      <c r="D90" s="66">
        <v>5</v>
      </c>
      <c r="E90" s="66">
        <v>6</v>
      </c>
      <c r="F90" s="66">
        <v>11</v>
      </c>
      <c r="G90" s="66">
        <v>15</v>
      </c>
      <c r="H90" s="66">
        <v>18</v>
      </c>
      <c r="I90" s="66">
        <v>19</v>
      </c>
      <c r="J90" s="66">
        <v>22</v>
      </c>
      <c r="K90" s="66">
        <v>27</v>
      </c>
      <c r="L90" s="66">
        <v>31</v>
      </c>
      <c r="M90" s="66">
        <v>45</v>
      </c>
      <c r="N90" s="66">
        <v>34</v>
      </c>
      <c r="O90" s="66">
        <v>42</v>
      </c>
      <c r="P90" s="66">
        <v>24</v>
      </c>
      <c r="Q90" s="66">
        <v>33</v>
      </c>
      <c r="R90" s="107">
        <v>46</v>
      </c>
      <c r="S90" s="107">
        <v>47</v>
      </c>
      <c r="T90" s="107">
        <v>49</v>
      </c>
      <c r="U90" s="107">
        <v>50</v>
      </c>
      <c r="V90" s="107">
        <v>51</v>
      </c>
      <c r="W90" s="107">
        <v>48</v>
      </c>
    </row>
    <row r="91" spans="1:23" x14ac:dyDescent="0.35">
      <c r="A91" s="63">
        <v>90</v>
      </c>
      <c r="B91" s="64" t="s">
        <v>349</v>
      </c>
      <c r="C91" s="66">
        <v>45</v>
      </c>
      <c r="D91" s="66">
        <v>28</v>
      </c>
      <c r="E91" s="66">
        <v>23</v>
      </c>
      <c r="F91" s="66">
        <v>20</v>
      </c>
      <c r="G91" s="66">
        <v>19</v>
      </c>
      <c r="H91" s="66">
        <v>18</v>
      </c>
      <c r="I91" s="66">
        <v>16</v>
      </c>
      <c r="J91" s="66">
        <v>15</v>
      </c>
      <c r="K91" s="66">
        <v>10</v>
      </c>
      <c r="L91" s="66">
        <v>7</v>
      </c>
      <c r="M91" s="66">
        <v>5</v>
      </c>
      <c r="N91" s="66">
        <v>3</v>
      </c>
      <c r="O91" s="66">
        <v>2</v>
      </c>
      <c r="P91" s="66">
        <v>1</v>
      </c>
      <c r="Q91" s="66">
        <v>43</v>
      </c>
      <c r="R91" s="107">
        <v>46</v>
      </c>
      <c r="S91" s="107">
        <v>47</v>
      </c>
      <c r="T91" s="107">
        <v>49</v>
      </c>
      <c r="U91" s="107">
        <v>50</v>
      </c>
      <c r="V91" s="107">
        <v>51</v>
      </c>
      <c r="W91" s="107">
        <v>48</v>
      </c>
    </row>
    <row r="92" spans="1:23" x14ac:dyDescent="0.35">
      <c r="A92" s="63">
        <v>91</v>
      </c>
      <c r="B92" s="64" t="s">
        <v>350</v>
      </c>
      <c r="C92" s="66">
        <v>35</v>
      </c>
      <c r="D92" s="66">
        <v>33</v>
      </c>
      <c r="E92" s="66">
        <v>32</v>
      </c>
      <c r="F92" s="66">
        <v>31</v>
      </c>
      <c r="G92" s="66">
        <v>30</v>
      </c>
      <c r="H92" s="66">
        <v>29</v>
      </c>
      <c r="I92" s="66">
        <v>14</v>
      </c>
      <c r="J92" s="66">
        <v>16</v>
      </c>
      <c r="K92" s="66">
        <v>24</v>
      </c>
      <c r="L92" s="66">
        <v>28</v>
      </c>
      <c r="M92" s="66">
        <v>20</v>
      </c>
      <c r="N92" s="66">
        <v>22</v>
      </c>
      <c r="O92" s="66">
        <v>27</v>
      </c>
      <c r="P92" s="66">
        <v>41</v>
      </c>
      <c r="Q92" s="66">
        <v>34</v>
      </c>
      <c r="R92" s="107">
        <v>46</v>
      </c>
      <c r="S92" s="107">
        <v>47</v>
      </c>
      <c r="T92" s="107">
        <v>49</v>
      </c>
      <c r="U92" s="107">
        <v>50</v>
      </c>
      <c r="V92" s="107">
        <v>51</v>
      </c>
      <c r="W92" s="107">
        <v>48</v>
      </c>
    </row>
    <row r="93" spans="1:23" x14ac:dyDescent="0.35">
      <c r="A93" s="63">
        <v>92</v>
      </c>
      <c r="B93" s="64" t="s">
        <v>351</v>
      </c>
      <c r="C93" s="66">
        <v>5</v>
      </c>
      <c r="D93" s="66">
        <v>6</v>
      </c>
      <c r="E93" s="66">
        <v>11</v>
      </c>
      <c r="F93" s="66">
        <v>12</v>
      </c>
      <c r="G93" s="66">
        <v>14</v>
      </c>
      <c r="H93" s="66">
        <v>16</v>
      </c>
      <c r="I93" s="66">
        <v>18</v>
      </c>
      <c r="J93" s="66">
        <v>20</v>
      </c>
      <c r="K93" s="66">
        <v>23</v>
      </c>
      <c r="L93" s="66">
        <v>31</v>
      </c>
      <c r="M93" s="66">
        <v>32</v>
      </c>
      <c r="N93" s="66">
        <v>37</v>
      </c>
      <c r="O93" s="66">
        <v>38</v>
      </c>
      <c r="P93" s="66">
        <v>45</v>
      </c>
      <c r="Q93" s="65"/>
      <c r="R93" s="107">
        <v>46</v>
      </c>
      <c r="S93" s="107">
        <v>47</v>
      </c>
      <c r="T93" s="107">
        <v>49</v>
      </c>
      <c r="U93" s="107">
        <v>50</v>
      </c>
      <c r="V93" s="107">
        <v>51</v>
      </c>
      <c r="W93" s="107">
        <v>48</v>
      </c>
    </row>
    <row r="94" spans="1:23" x14ac:dyDescent="0.35">
      <c r="A94" s="63">
        <v>93</v>
      </c>
      <c r="B94" s="64" t="s">
        <v>352</v>
      </c>
      <c r="C94" s="66">
        <v>3</v>
      </c>
      <c r="D94" s="66">
        <v>1</v>
      </c>
      <c r="E94" s="66">
        <v>2</v>
      </c>
      <c r="F94" s="66">
        <v>10</v>
      </c>
      <c r="G94" s="66">
        <v>17</v>
      </c>
      <c r="H94" s="66">
        <v>19</v>
      </c>
      <c r="I94" s="66">
        <v>22</v>
      </c>
      <c r="J94" s="66">
        <v>23</v>
      </c>
      <c r="K94" s="66">
        <v>27</v>
      </c>
      <c r="L94" s="66">
        <v>24</v>
      </c>
      <c r="M94" s="66">
        <v>28</v>
      </c>
      <c r="N94" s="66">
        <v>29</v>
      </c>
      <c r="O94" s="66">
        <v>33</v>
      </c>
      <c r="P94" s="66">
        <v>38</v>
      </c>
      <c r="Q94" s="66">
        <v>36</v>
      </c>
      <c r="R94" s="107">
        <v>46</v>
      </c>
      <c r="S94" s="107">
        <v>47</v>
      </c>
      <c r="T94" s="107">
        <v>49</v>
      </c>
      <c r="U94" s="107">
        <v>50</v>
      </c>
      <c r="V94" s="107">
        <v>51</v>
      </c>
      <c r="W94" s="107">
        <v>48</v>
      </c>
    </row>
    <row r="95" spans="1:23" x14ac:dyDescent="0.35">
      <c r="A95" s="63">
        <v>94</v>
      </c>
      <c r="B95" s="64" t="s">
        <v>353</v>
      </c>
      <c r="C95" s="66">
        <v>4</v>
      </c>
      <c r="D95" s="66">
        <v>6</v>
      </c>
      <c r="E95" s="66">
        <v>11</v>
      </c>
      <c r="F95" s="66">
        <v>12</v>
      </c>
      <c r="G95" s="66">
        <v>15</v>
      </c>
      <c r="H95" s="66">
        <v>18</v>
      </c>
      <c r="I95" s="66">
        <v>20</v>
      </c>
      <c r="J95" s="66">
        <v>45</v>
      </c>
      <c r="K95" s="66">
        <v>43</v>
      </c>
      <c r="L95" s="66">
        <v>42</v>
      </c>
      <c r="M95" s="66">
        <v>40</v>
      </c>
      <c r="N95" s="66">
        <v>36</v>
      </c>
      <c r="O95" s="66">
        <v>34</v>
      </c>
      <c r="P95" s="66">
        <v>31</v>
      </c>
      <c r="Q95" s="66">
        <v>26</v>
      </c>
      <c r="R95" s="107">
        <v>46</v>
      </c>
      <c r="S95" s="107">
        <v>47</v>
      </c>
      <c r="T95" s="107">
        <v>49</v>
      </c>
      <c r="U95" s="107">
        <v>50</v>
      </c>
      <c r="V95" s="107">
        <v>51</v>
      </c>
      <c r="W95" s="107">
        <v>48</v>
      </c>
    </row>
    <row r="96" spans="1:23" x14ac:dyDescent="0.35">
      <c r="A96" s="63">
        <v>95</v>
      </c>
      <c r="B96" s="64" t="s">
        <v>354</v>
      </c>
      <c r="C96" s="66">
        <v>27</v>
      </c>
      <c r="D96" s="66">
        <v>31</v>
      </c>
      <c r="E96" s="66">
        <v>30</v>
      </c>
      <c r="F96" s="66">
        <v>34</v>
      </c>
      <c r="G96" s="66">
        <v>45</v>
      </c>
      <c r="H96" s="66">
        <v>10</v>
      </c>
      <c r="I96" s="66">
        <v>1</v>
      </c>
      <c r="J96" s="66">
        <v>3</v>
      </c>
      <c r="K96" s="66">
        <v>14</v>
      </c>
      <c r="L96" s="66">
        <v>20</v>
      </c>
      <c r="M96" s="66">
        <v>15</v>
      </c>
      <c r="N96" s="66">
        <v>32</v>
      </c>
      <c r="O96" s="66">
        <v>35</v>
      </c>
      <c r="P96" s="66">
        <v>22</v>
      </c>
      <c r="Q96" s="66">
        <v>23</v>
      </c>
      <c r="R96" s="107">
        <v>46</v>
      </c>
      <c r="S96" s="107">
        <v>47</v>
      </c>
      <c r="T96" s="107">
        <v>49</v>
      </c>
      <c r="U96" s="107">
        <v>50</v>
      </c>
      <c r="V96" s="107">
        <v>51</v>
      </c>
      <c r="W96" s="107">
        <v>48</v>
      </c>
    </row>
    <row r="97" spans="1:23" x14ac:dyDescent="0.35">
      <c r="A97" s="63">
        <v>96</v>
      </c>
      <c r="B97" s="64" t="s">
        <v>355</v>
      </c>
      <c r="C97" s="66">
        <v>45</v>
      </c>
      <c r="D97" s="66">
        <v>40</v>
      </c>
      <c r="E97" s="66">
        <v>39</v>
      </c>
      <c r="F97" s="66">
        <v>36</v>
      </c>
      <c r="G97" s="66">
        <v>27</v>
      </c>
      <c r="H97" s="66">
        <v>23</v>
      </c>
      <c r="I97" s="66">
        <v>22</v>
      </c>
      <c r="J97" s="66">
        <v>17</v>
      </c>
      <c r="K97" s="66">
        <v>14</v>
      </c>
      <c r="L97" s="66">
        <v>12</v>
      </c>
      <c r="M97" s="66">
        <v>15</v>
      </c>
      <c r="N97" s="66">
        <v>6</v>
      </c>
      <c r="O97" s="66">
        <v>37</v>
      </c>
      <c r="P97" s="66">
        <v>42</v>
      </c>
      <c r="Q97" s="66">
        <v>32</v>
      </c>
      <c r="R97" s="107">
        <v>46</v>
      </c>
      <c r="S97" s="107">
        <v>47</v>
      </c>
      <c r="T97" s="107">
        <v>49</v>
      </c>
      <c r="U97" s="107">
        <v>50</v>
      </c>
      <c r="V97" s="107">
        <v>51</v>
      </c>
      <c r="W97" s="107">
        <v>48</v>
      </c>
    </row>
    <row r="98" spans="1:23" x14ac:dyDescent="0.35">
      <c r="A98" s="63">
        <v>97</v>
      </c>
      <c r="B98" s="64" t="s">
        <v>356</v>
      </c>
      <c r="C98" s="66">
        <v>28</v>
      </c>
      <c r="D98" s="66">
        <v>29</v>
      </c>
      <c r="E98" s="66">
        <v>34</v>
      </c>
      <c r="F98" s="66">
        <v>37</v>
      </c>
      <c r="G98" s="66">
        <v>38</v>
      </c>
      <c r="H98" s="66">
        <v>45</v>
      </c>
      <c r="I98" s="66">
        <v>14</v>
      </c>
      <c r="J98" s="66">
        <v>42</v>
      </c>
      <c r="K98" s="66">
        <v>22</v>
      </c>
      <c r="L98" s="66">
        <v>23</v>
      </c>
      <c r="M98" s="66">
        <v>24</v>
      </c>
      <c r="N98" s="66">
        <v>27</v>
      </c>
      <c r="O98" s="66">
        <v>2</v>
      </c>
      <c r="P98" s="66">
        <v>30</v>
      </c>
      <c r="Q98" s="66">
        <v>31</v>
      </c>
      <c r="R98" s="107">
        <v>46</v>
      </c>
      <c r="S98" s="107">
        <v>47</v>
      </c>
      <c r="T98" s="107">
        <v>49</v>
      </c>
      <c r="U98" s="107">
        <v>50</v>
      </c>
      <c r="V98" s="107">
        <v>51</v>
      </c>
      <c r="W98" s="107">
        <v>48</v>
      </c>
    </row>
    <row r="99" spans="1:23" x14ac:dyDescent="0.35">
      <c r="A99" s="63">
        <v>98</v>
      </c>
      <c r="B99" s="64" t="s">
        <v>357</v>
      </c>
      <c r="C99" s="66">
        <v>45</v>
      </c>
      <c r="D99" s="66">
        <v>2</v>
      </c>
      <c r="E99" s="66">
        <v>5</v>
      </c>
      <c r="F99" s="66">
        <v>7</v>
      </c>
      <c r="G99" s="66">
        <v>14</v>
      </c>
      <c r="H99" s="66">
        <v>16</v>
      </c>
      <c r="I99" s="66">
        <v>20</v>
      </c>
      <c r="J99" s="66">
        <v>22</v>
      </c>
      <c r="K99" s="66">
        <v>24</v>
      </c>
      <c r="L99" s="66">
        <v>27</v>
      </c>
      <c r="M99" s="66">
        <v>28</v>
      </c>
      <c r="N99" s="66">
        <v>31</v>
      </c>
      <c r="O99" s="66">
        <v>32</v>
      </c>
      <c r="P99" s="66">
        <v>33</v>
      </c>
      <c r="Q99" s="66">
        <v>39</v>
      </c>
      <c r="R99" s="107">
        <v>46</v>
      </c>
      <c r="S99" s="107">
        <v>47</v>
      </c>
      <c r="T99" s="107">
        <v>49</v>
      </c>
      <c r="U99" s="107">
        <v>50</v>
      </c>
      <c r="V99" s="107">
        <v>51</v>
      </c>
      <c r="W99" s="107">
        <v>48</v>
      </c>
    </row>
    <row r="100" spans="1:23" x14ac:dyDescent="0.35">
      <c r="A100" s="63">
        <v>99</v>
      </c>
      <c r="B100" s="64" t="s">
        <v>358</v>
      </c>
      <c r="C100" s="66">
        <v>5</v>
      </c>
      <c r="D100" s="66">
        <v>10</v>
      </c>
      <c r="E100" s="66">
        <v>11</v>
      </c>
      <c r="F100" s="66">
        <v>12</v>
      </c>
      <c r="G100" s="66">
        <v>16</v>
      </c>
      <c r="H100" s="66">
        <v>45</v>
      </c>
      <c r="I100" s="66">
        <v>41</v>
      </c>
      <c r="J100" s="66">
        <v>40</v>
      </c>
      <c r="K100" s="66">
        <v>39</v>
      </c>
      <c r="L100" s="66">
        <v>38</v>
      </c>
      <c r="M100" s="66">
        <v>37</v>
      </c>
      <c r="N100" s="66">
        <v>36</v>
      </c>
      <c r="O100" s="66">
        <v>34</v>
      </c>
      <c r="P100" s="66">
        <v>27</v>
      </c>
      <c r="Q100" s="65"/>
      <c r="R100" s="107">
        <v>46</v>
      </c>
      <c r="S100" s="107">
        <v>47</v>
      </c>
      <c r="T100" s="107">
        <v>49</v>
      </c>
      <c r="U100" s="107">
        <v>50</v>
      </c>
      <c r="V100" s="107">
        <v>51</v>
      </c>
      <c r="W100" s="107">
        <v>48</v>
      </c>
    </row>
    <row r="101" spans="1:23" x14ac:dyDescent="0.35">
      <c r="A101" s="63">
        <v>100</v>
      </c>
      <c r="B101" s="64" t="s">
        <v>359</v>
      </c>
      <c r="C101" s="66">
        <v>11</v>
      </c>
      <c r="D101" s="66">
        <v>20</v>
      </c>
      <c r="E101" s="66">
        <v>23</v>
      </c>
      <c r="F101" s="66">
        <v>30</v>
      </c>
      <c r="G101" s="66">
        <v>27</v>
      </c>
      <c r="H101" s="66">
        <v>31</v>
      </c>
      <c r="I101" s="66">
        <v>32</v>
      </c>
      <c r="J101" s="66">
        <v>34</v>
      </c>
      <c r="K101" s="66">
        <v>38</v>
      </c>
      <c r="L101" s="66">
        <v>43</v>
      </c>
      <c r="M101" s="66">
        <v>3</v>
      </c>
      <c r="N101" s="66">
        <v>18</v>
      </c>
      <c r="O101" s="66">
        <v>16</v>
      </c>
      <c r="P101" s="66">
        <v>5</v>
      </c>
      <c r="Q101" s="66">
        <v>12</v>
      </c>
      <c r="R101" s="107">
        <v>46</v>
      </c>
      <c r="S101" s="107">
        <v>47</v>
      </c>
      <c r="T101" s="107">
        <v>49</v>
      </c>
      <c r="U101" s="107">
        <v>50</v>
      </c>
      <c r="V101" s="107">
        <v>51</v>
      </c>
      <c r="W101" s="107">
        <v>48</v>
      </c>
    </row>
    <row r="102" spans="1:23" x14ac:dyDescent="0.35">
      <c r="A102" s="63">
        <v>101</v>
      </c>
      <c r="B102" s="64" t="s">
        <v>360</v>
      </c>
      <c r="C102" s="66">
        <v>1</v>
      </c>
      <c r="D102" s="66">
        <v>3</v>
      </c>
      <c r="E102" s="66">
        <v>6</v>
      </c>
      <c r="F102" s="66">
        <v>7</v>
      </c>
      <c r="G102" s="66">
        <v>11</v>
      </c>
      <c r="H102" s="66">
        <v>12</v>
      </c>
      <c r="I102" s="66">
        <v>17</v>
      </c>
      <c r="J102" s="66">
        <v>16</v>
      </c>
      <c r="K102" s="66">
        <v>19</v>
      </c>
      <c r="L102" s="66">
        <v>26</v>
      </c>
      <c r="M102" s="66">
        <v>35</v>
      </c>
      <c r="N102" s="66">
        <v>40</v>
      </c>
      <c r="O102" s="66">
        <v>41</v>
      </c>
      <c r="P102" s="66">
        <v>32</v>
      </c>
      <c r="Q102" s="66">
        <v>38</v>
      </c>
      <c r="R102" s="107">
        <v>46</v>
      </c>
      <c r="S102" s="107">
        <v>47</v>
      </c>
      <c r="T102" s="107">
        <v>49</v>
      </c>
      <c r="U102" s="107">
        <v>50</v>
      </c>
      <c r="V102" s="107">
        <v>51</v>
      </c>
      <c r="W102" s="107">
        <v>48</v>
      </c>
    </row>
    <row r="103" spans="1:23" x14ac:dyDescent="0.35">
      <c r="A103" s="63">
        <v>102</v>
      </c>
      <c r="B103" s="64" t="s">
        <v>361</v>
      </c>
      <c r="C103" s="66">
        <v>1</v>
      </c>
      <c r="D103" s="66">
        <v>14</v>
      </c>
      <c r="E103" s="66">
        <v>17</v>
      </c>
      <c r="F103" s="66">
        <v>18</v>
      </c>
      <c r="G103" s="66">
        <v>19</v>
      </c>
      <c r="H103" s="66">
        <v>23</v>
      </c>
      <c r="I103" s="66">
        <v>34</v>
      </c>
      <c r="J103" s="66">
        <v>38</v>
      </c>
      <c r="K103" s="66">
        <v>42</v>
      </c>
      <c r="L103" s="66">
        <v>45</v>
      </c>
      <c r="M103" s="66">
        <v>2</v>
      </c>
      <c r="N103" s="66">
        <v>10</v>
      </c>
      <c r="O103" s="66">
        <v>22</v>
      </c>
      <c r="P103" s="66">
        <v>27</v>
      </c>
      <c r="Q103" s="66">
        <v>31</v>
      </c>
      <c r="R103" s="107">
        <v>46</v>
      </c>
      <c r="S103" s="107">
        <v>47</v>
      </c>
      <c r="T103" s="107">
        <v>49</v>
      </c>
      <c r="U103" s="107">
        <v>50</v>
      </c>
      <c r="V103" s="107">
        <v>51</v>
      </c>
      <c r="W103" s="107">
        <v>48</v>
      </c>
    </row>
    <row r="104" spans="1:23" x14ac:dyDescent="0.35">
      <c r="A104" s="63">
        <v>103</v>
      </c>
      <c r="B104" s="64" t="s">
        <v>362</v>
      </c>
      <c r="C104" s="66">
        <v>2</v>
      </c>
      <c r="D104" s="66">
        <v>4</v>
      </c>
      <c r="E104" s="66">
        <v>5</v>
      </c>
      <c r="F104" s="66">
        <v>7</v>
      </c>
      <c r="G104" s="66">
        <v>11</v>
      </c>
      <c r="H104" s="66">
        <v>19</v>
      </c>
      <c r="I104" s="66">
        <v>20</v>
      </c>
      <c r="J104" s="66">
        <v>30</v>
      </c>
      <c r="K104" s="66">
        <v>36</v>
      </c>
      <c r="L104" s="66">
        <v>45</v>
      </c>
      <c r="M104" s="65"/>
      <c r="N104" s="65"/>
      <c r="O104" s="65"/>
      <c r="P104" s="65"/>
      <c r="Q104" s="65"/>
      <c r="R104" s="107">
        <v>46</v>
      </c>
      <c r="S104" s="107">
        <v>47</v>
      </c>
      <c r="T104" s="107">
        <v>49</v>
      </c>
      <c r="U104" s="107">
        <v>50</v>
      </c>
      <c r="V104" s="107">
        <v>51</v>
      </c>
      <c r="W104" s="107">
        <v>48</v>
      </c>
    </row>
    <row r="105" spans="1:23" x14ac:dyDescent="0.35">
      <c r="A105" s="63">
        <v>104</v>
      </c>
      <c r="B105" s="64" t="s">
        <v>363</v>
      </c>
      <c r="C105" s="66">
        <v>4</v>
      </c>
      <c r="D105" s="66">
        <v>14</v>
      </c>
      <c r="E105" s="66">
        <v>29</v>
      </c>
      <c r="F105" s="66">
        <v>34</v>
      </c>
      <c r="G105" s="66">
        <v>38</v>
      </c>
      <c r="H105" s="66">
        <v>41</v>
      </c>
      <c r="I105" s="66">
        <v>42</v>
      </c>
      <c r="J105" s="66">
        <v>45</v>
      </c>
      <c r="K105" s="66">
        <v>1</v>
      </c>
      <c r="L105" s="66">
        <v>23</v>
      </c>
      <c r="M105" s="66">
        <v>22</v>
      </c>
      <c r="N105" s="66">
        <v>20</v>
      </c>
      <c r="O105" s="66">
        <v>10</v>
      </c>
      <c r="P105" s="66">
        <v>19</v>
      </c>
      <c r="Q105" s="65"/>
      <c r="R105" s="107">
        <v>46</v>
      </c>
      <c r="S105" s="107">
        <v>47</v>
      </c>
      <c r="T105" s="107">
        <v>49</v>
      </c>
      <c r="U105" s="107">
        <v>50</v>
      </c>
      <c r="V105" s="107">
        <v>51</v>
      </c>
      <c r="W105" s="107">
        <v>48</v>
      </c>
    </row>
    <row r="106" spans="1:23" x14ac:dyDescent="0.35">
      <c r="A106" s="63">
        <v>105</v>
      </c>
      <c r="B106" s="64" t="s">
        <v>364</v>
      </c>
      <c r="C106" s="66">
        <v>5</v>
      </c>
      <c r="D106" s="66">
        <v>11</v>
      </c>
      <c r="E106" s="66">
        <v>16</v>
      </c>
      <c r="F106" s="66">
        <v>20</v>
      </c>
      <c r="G106" s="66">
        <v>27</v>
      </c>
      <c r="H106" s="66">
        <v>30</v>
      </c>
      <c r="I106" s="66">
        <v>34</v>
      </c>
      <c r="J106" s="66">
        <v>37</v>
      </c>
      <c r="K106" s="66">
        <v>35</v>
      </c>
      <c r="L106" s="66">
        <v>42</v>
      </c>
      <c r="M106" s="66">
        <v>41</v>
      </c>
      <c r="N106" s="66">
        <v>43</v>
      </c>
      <c r="O106" s="66">
        <v>45</v>
      </c>
      <c r="P106" s="66">
        <v>44</v>
      </c>
      <c r="Q106" s="65"/>
      <c r="R106" s="107">
        <v>46</v>
      </c>
      <c r="S106" s="107">
        <v>47</v>
      </c>
      <c r="T106" s="107">
        <v>49</v>
      </c>
      <c r="U106" s="107">
        <v>50</v>
      </c>
      <c r="V106" s="107">
        <v>51</v>
      </c>
      <c r="W106" s="107">
        <v>48</v>
      </c>
    </row>
    <row r="107" spans="1:23" x14ac:dyDescent="0.35">
      <c r="A107" s="63">
        <v>106</v>
      </c>
      <c r="B107" s="64" t="s">
        <v>365</v>
      </c>
      <c r="C107" s="66">
        <v>37</v>
      </c>
      <c r="D107" s="66">
        <v>11</v>
      </c>
      <c r="E107" s="66">
        <v>27</v>
      </c>
      <c r="F107" s="66">
        <v>23</v>
      </c>
      <c r="G107" s="66">
        <v>45</v>
      </c>
      <c r="H107" s="66">
        <v>12</v>
      </c>
      <c r="I107" s="66">
        <v>6</v>
      </c>
      <c r="J107" s="66">
        <v>20</v>
      </c>
      <c r="K107" s="66">
        <v>15</v>
      </c>
      <c r="L107" s="66">
        <v>14</v>
      </c>
      <c r="M107" s="66">
        <v>30</v>
      </c>
      <c r="N107" s="66">
        <v>34</v>
      </c>
      <c r="O107" s="66">
        <v>36</v>
      </c>
      <c r="P107" s="66">
        <v>17</v>
      </c>
      <c r="Q107" s="66">
        <v>4</v>
      </c>
      <c r="R107" s="107">
        <v>46</v>
      </c>
      <c r="S107" s="107">
        <v>47</v>
      </c>
      <c r="T107" s="107">
        <v>49</v>
      </c>
      <c r="U107" s="107">
        <v>50</v>
      </c>
      <c r="V107" s="107">
        <v>51</v>
      </c>
      <c r="W107" s="107">
        <v>48</v>
      </c>
    </row>
    <row r="108" spans="1:23" x14ac:dyDescent="0.35">
      <c r="A108" s="63">
        <v>107</v>
      </c>
      <c r="B108" s="64" t="s">
        <v>366</v>
      </c>
      <c r="C108" s="66">
        <v>44</v>
      </c>
      <c r="D108" s="66">
        <v>45</v>
      </c>
      <c r="E108" s="66">
        <v>43</v>
      </c>
      <c r="F108" s="66">
        <v>40</v>
      </c>
      <c r="G108" s="66">
        <v>4</v>
      </c>
      <c r="H108" s="66">
        <v>12</v>
      </c>
      <c r="I108" s="66">
        <v>14</v>
      </c>
      <c r="J108" s="66">
        <v>16</v>
      </c>
      <c r="K108" s="66">
        <v>19</v>
      </c>
      <c r="L108" s="66">
        <v>23</v>
      </c>
      <c r="M108" s="66">
        <v>24</v>
      </c>
      <c r="N108" s="66">
        <v>26</v>
      </c>
      <c r="O108" s="66">
        <v>27</v>
      </c>
      <c r="P108" s="65"/>
      <c r="Q108" s="65"/>
      <c r="R108" s="107">
        <v>46</v>
      </c>
      <c r="S108" s="107">
        <v>47</v>
      </c>
      <c r="T108" s="107">
        <v>49</v>
      </c>
      <c r="U108" s="107">
        <v>50</v>
      </c>
      <c r="V108" s="107">
        <v>51</v>
      </c>
      <c r="W108" s="107">
        <v>48</v>
      </c>
    </row>
    <row r="109" spans="1:23" x14ac:dyDescent="0.35">
      <c r="A109" s="63">
        <v>108</v>
      </c>
      <c r="B109" s="64" t="s">
        <v>367</v>
      </c>
      <c r="C109" s="66">
        <v>45</v>
      </c>
      <c r="D109" s="66">
        <v>44</v>
      </c>
      <c r="E109" s="66">
        <v>43</v>
      </c>
      <c r="F109" s="66">
        <v>39</v>
      </c>
      <c r="G109" s="66">
        <v>37</v>
      </c>
      <c r="H109" s="66">
        <v>36</v>
      </c>
      <c r="I109" s="66">
        <v>34</v>
      </c>
      <c r="J109" s="66">
        <v>31</v>
      </c>
      <c r="K109" s="66">
        <v>27</v>
      </c>
      <c r="L109" s="66">
        <v>26</v>
      </c>
      <c r="M109" s="65"/>
      <c r="N109" s="65"/>
      <c r="O109" s="66">
        <v>2</v>
      </c>
      <c r="P109" s="66">
        <v>1</v>
      </c>
      <c r="Q109" s="66">
        <v>5</v>
      </c>
      <c r="R109" s="107">
        <v>46</v>
      </c>
      <c r="S109" s="107">
        <v>47</v>
      </c>
      <c r="T109" s="107">
        <v>49</v>
      </c>
      <c r="U109" s="107">
        <v>50</v>
      </c>
      <c r="V109" s="107">
        <v>51</v>
      </c>
      <c r="W109" s="107">
        <v>48</v>
      </c>
    </row>
  </sheetData>
  <phoneticPr fontId="23" type="noConversion"/>
  <pageMargins left="0.7" right="0.7" top="0.75" bottom="0.75" header="0.3" footer="0.3"/>
  <ignoredErrors>
    <ignoredError sqref="K60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7A88-315B-4A0F-8654-F32DA6A061E3}">
  <dimension ref="A1:B17"/>
  <sheetViews>
    <sheetView workbookViewId="0">
      <selection activeCell="B12" sqref="B12"/>
    </sheetView>
  </sheetViews>
  <sheetFormatPr defaultRowHeight="14.5" x14ac:dyDescent="0.35"/>
  <cols>
    <col min="1" max="1" width="15.81640625" customWidth="1"/>
    <col min="2" max="2" width="12.08984375" customWidth="1"/>
    <col min="3" max="3" width="24.81640625" customWidth="1"/>
  </cols>
  <sheetData>
    <row r="1" spans="1:2" x14ac:dyDescent="0.35">
      <c r="A1" s="116" t="s">
        <v>404</v>
      </c>
    </row>
    <row r="2" spans="1:2" x14ac:dyDescent="0.35">
      <c r="A2" t="s">
        <v>24</v>
      </c>
      <c r="B2">
        <v>45</v>
      </c>
    </row>
    <row r="3" spans="1:2" x14ac:dyDescent="0.35">
      <c r="A3" t="s">
        <v>25</v>
      </c>
      <c r="B3">
        <v>35</v>
      </c>
    </row>
    <row r="4" spans="1:2" x14ac:dyDescent="0.35">
      <c r="A4" t="s">
        <v>372</v>
      </c>
      <c r="B4">
        <v>27</v>
      </c>
    </row>
    <row r="5" spans="1:2" x14ac:dyDescent="0.35">
      <c r="A5" t="s">
        <v>26</v>
      </c>
      <c r="B5">
        <v>27</v>
      </c>
    </row>
    <row r="6" spans="1:2" x14ac:dyDescent="0.35">
      <c r="A6" t="s">
        <v>27</v>
      </c>
      <c r="B6">
        <v>27</v>
      </c>
    </row>
    <row r="7" spans="1:2" x14ac:dyDescent="0.35">
      <c r="A7" t="s">
        <v>35</v>
      </c>
      <c r="B7">
        <v>27</v>
      </c>
    </row>
    <row r="10" spans="1:2" x14ac:dyDescent="0.35">
      <c r="A10" s="116" t="s">
        <v>405</v>
      </c>
    </row>
    <row r="11" spans="1:2" x14ac:dyDescent="0.35">
      <c r="A11" t="s">
        <v>24</v>
      </c>
      <c r="B11">
        <v>45</v>
      </c>
    </row>
    <row r="12" spans="1:2" x14ac:dyDescent="0.35">
      <c r="A12" t="s">
        <v>25</v>
      </c>
      <c r="B12">
        <v>35</v>
      </c>
    </row>
    <row r="13" spans="1:2" x14ac:dyDescent="0.35">
      <c r="A13" t="s">
        <v>26</v>
      </c>
      <c r="B13">
        <v>27</v>
      </c>
    </row>
    <row r="14" spans="1:2" x14ac:dyDescent="0.35">
      <c r="A14" t="s">
        <v>27</v>
      </c>
      <c r="B14">
        <v>27</v>
      </c>
    </row>
    <row r="15" spans="1:2" x14ac:dyDescent="0.35">
      <c r="A15" t="s">
        <v>35</v>
      </c>
      <c r="B15">
        <v>27</v>
      </c>
    </row>
    <row r="17" spans="1:1" x14ac:dyDescent="0.35">
      <c r="A17" t="s">
        <v>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D7743E7DBA5B4D9886E5D9B092175A" ma:contentTypeVersion="9" ma:contentTypeDescription="Create a new document." ma:contentTypeScope="" ma:versionID="d0d2e5b83e1ff91cfe8933ce2b69f2a0">
  <xsd:schema xmlns:xsd="http://www.w3.org/2001/XMLSchema" xmlns:xs="http://www.w3.org/2001/XMLSchema" xmlns:p="http://schemas.microsoft.com/office/2006/metadata/properties" xmlns:ns2="a1210a3b-65ee-4f71-986c-ddad0a4fc8d2" xmlns:ns3="87193963-6a81-46e3-8ab1-a5c394d12f0b" targetNamespace="http://schemas.microsoft.com/office/2006/metadata/properties" ma:root="true" ma:fieldsID="c0462e6e6da5e2f3f8d081e09956c06a" ns2:_="" ns3:_="">
    <xsd:import namespace="a1210a3b-65ee-4f71-986c-ddad0a4fc8d2"/>
    <xsd:import namespace="87193963-6a81-46e3-8ab1-a5c394d12f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10a3b-65ee-4f71-986c-ddad0a4fc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d80d7d-e6d4-4cce-98f7-757808f083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93963-6a81-46e3-8ab1-a5c394d12f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89197f-5709-48ce-a127-d7b52aad3668}" ma:internalName="TaxCatchAll" ma:showField="CatchAllData" ma:web="87193963-6a81-46e3-8ab1-a5c394d12f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193963-6a81-46e3-8ab1-a5c394d12f0b" xsi:nil="true"/>
    <lcf76f155ced4ddcb4097134ff3c332f xmlns="a1210a3b-65ee-4f71-986c-ddad0a4fc8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1BF1A-79E6-4CA1-A72C-70AF91CCF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10a3b-65ee-4f71-986c-ddad0a4fc8d2"/>
    <ds:schemaRef ds:uri="87193963-6a81-46e3-8ab1-a5c394d12f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C02FD1-68DD-44EA-B955-D8833892146E}">
  <ds:schemaRefs>
    <ds:schemaRef ds:uri="http://schemas.microsoft.com/office/2006/metadata/properties"/>
    <ds:schemaRef ds:uri="http://schemas.microsoft.com/office/infopath/2007/PartnerControls"/>
    <ds:schemaRef ds:uri="da9036f8-011f-403d-ab90-36b7299a9638"/>
    <ds:schemaRef ds:uri="a628b191-c96a-4df6-8d25-ccafe72d25e9"/>
    <ds:schemaRef ds:uri="87193963-6a81-46e3-8ab1-a5c394d12f0b"/>
    <ds:schemaRef ds:uri="a1210a3b-65ee-4f71-986c-ddad0a4fc8d2"/>
  </ds:schemaRefs>
</ds:datastoreItem>
</file>

<file path=customXml/itemProps3.xml><?xml version="1.0" encoding="utf-8"?>
<ds:datastoreItem xmlns:ds="http://schemas.openxmlformats.org/officeDocument/2006/customXml" ds:itemID="{D0549FE4-84E2-4D06-B746-29366C9A37D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819b495-b2a3-4cb7-99e7-f5b00a8e874f}" enabled="0" method="" siteId="{d819b495-b2a3-4cb7-99e7-f5b00a8e87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programma 3 december</vt:lpstr>
      <vt:lpstr>programma 4 december</vt:lpstr>
      <vt:lpstr>Lezingen 2025</vt:lpstr>
      <vt:lpstr>Keuze per deelnemer</vt:lpstr>
      <vt:lpstr>Ruimte per zaal</vt:lpstr>
      <vt:lpstr>'programma 4 december'!Print_Area</vt:lpstr>
      <vt:lpstr>'programma 3 december'!Print_Titles</vt:lpstr>
      <vt:lpstr>'programma 4 december'!Print_Titles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Maureen Moti</dc:creator>
  <cp:keywords/>
  <dc:description/>
  <cp:lastModifiedBy>Sam Berkhout (student)</cp:lastModifiedBy>
  <cp:revision/>
  <cp:lastPrinted>2025-11-25T14:28:39Z</cp:lastPrinted>
  <dcterms:created xsi:type="dcterms:W3CDTF">2014-10-27T13:54:41Z</dcterms:created>
  <dcterms:modified xsi:type="dcterms:W3CDTF">2025-11-26T16:05:34Z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0x01010004D7743E7DBA5B4D9886E5D9B092175A</vt:lpwstr>
  </property>
  <property fmtid="{D5CDD505-2E9C-101B-9397-08002B2CF9AE}" pid="3" name="MediaServiceImageTags">
    <vt:lpwstr/>
  </property>
</Properties>
</file>